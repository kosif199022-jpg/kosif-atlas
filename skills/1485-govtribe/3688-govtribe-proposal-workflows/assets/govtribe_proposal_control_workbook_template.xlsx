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55f8f77e33b46e4" /></Relationships>
</file>

<file path=xl/workbook.xml><?xml version="1.0" encoding="utf-8"?>
<x:workbook xmlns:x="http://schemas.openxmlformats.org/spreadsheetml/2006/main">
  <x:sheets>
    <x:sheet xmlns:r="http://schemas.openxmlformats.org/officeDocument/2006/relationships" name="Start Here" sheetId="1" r:id="Re1e77d3d25374505"/>
    <x:sheet xmlns:r="http://schemas.openxmlformats.org/officeDocument/2006/relationships" name="Opportunity Setup" sheetId="2" r:id="R43d44f12721848eb"/>
    <x:sheet xmlns:r="http://schemas.openxmlformats.org/officeDocument/2006/relationships" name="Dashboard" sheetId="3" r:id="R8f836c92d7d64150"/>
    <x:sheet xmlns:r="http://schemas.openxmlformats.org/officeDocument/2006/relationships" name="Requirement Matrix" sheetId="4" r:id="R7bf6f751b11d48f8"/>
    <x:sheet xmlns:r="http://schemas.openxmlformats.org/officeDocument/2006/relationships" name="Evaluation Crosswalk" sheetId="5" r:id="R86b0c9c805ba40e8"/>
    <x:sheet xmlns:r="http://schemas.openxmlformats.org/officeDocument/2006/relationships" name="Submission Checklist" sheetId="6" r:id="R52ba551f6a15487e"/>
    <x:sheet xmlns:r="http://schemas.openxmlformats.org/officeDocument/2006/relationships" name="Pricing &amp; Deliverables" sheetId="7" r:id="Rd6a301de5b414506"/>
    <x:sheet xmlns:r="http://schemas.openxmlformats.org/officeDocument/2006/relationships" name="Questions-Risks" sheetId="8" r:id="Rac1f5d22b0aa460a"/>
    <x:sheet xmlns:r="http://schemas.openxmlformats.org/officeDocument/2006/relationships" name="Amendment Log" sheetId="9" r:id="Rc790ed8f530e4373"/>
    <x:sheet xmlns:r="http://schemas.openxmlformats.org/officeDocument/2006/relationships" name="Sources" sheetId="10" r:id="R6638456ef20745b7"/>
    <x:sheet xmlns:r="http://schemas.openxmlformats.org/officeDocument/2006/relationships" name="Lists" sheetId="11" r:id="R25092dac733a4cc5"/>
  </x:sheets>
  <x:definedNames>
    <x:definedName name="_xlnm._FilterDatabase" localSheetId="3" hidden="1">'Requirement Matrix'!$A$7:$U$127</x:definedName>
    <x:definedName name="_xlnm._FilterDatabase" localSheetId="4" hidden="1">'Evaluation Crosswalk'!$A$7:$L$42</x:definedName>
    <x:definedName name="_xlnm._FilterDatabase" localSheetId="5" hidden="1">'Submission Checklist'!$A$6:$K$32</x:definedName>
    <x:definedName name="_xlnm._FilterDatabase" localSheetId="6" hidden="1">'Pricing &amp; Deliverables'!$A$6:$J$37</x:definedName>
    <x:definedName name="_xlnm._FilterDatabase" localSheetId="7" hidden="1">'Questions-Risks'!$A$6:$K$31</x:definedName>
    <x:definedName name="_xlnm._FilterDatabase" localSheetId="8" hidden="1">'Amendment Log'!$A$6:$J$28</x:definedName>
    <x:definedName name="_xlnm._FilterDatabase" localSheetId="9" hidden="1">'Sources'!$A$5:$E$36</x:definedName>
  </x:definedNames>
</x:workbook>
</file>

<file path=xl/comments1.xml><?xml version="1.0" encoding="utf-8"?>
<x:comments xmlns:x="http://schemas.openxmlformats.org/spreadsheetml/2006/main">
  <x:authors>
    <x:author>GovTribe</x:author>
  </x:authors>
  <x:commentList>
    <x:comment ref="B5" authorId="0">
      <x:text>
        <x:r>
          <x:t>Name the pursuit the same way the team refers to it internally.</x:t>
        </x:r>
      </x:text>
    </x:comment>
    <x:comment ref="B6" authorId="0">
      <x:text>
        <x:r>
          <x:t>Use the latest solicitation number or amendment combination if appropriate.</x:t>
        </x:r>
      </x:text>
    </x:comment>
    <x:comment ref="B7" authorId="0">
      <x:text>
        <x:r>
          <x:t>Record the precise buying office to support buyer-specific capture workflows.</x:t>
        </x:r>
      </x:text>
    </x:comment>
    <x:comment ref="B9" authorId="0">
      <x:text>
        <x:r>
          <x:t>Add NAICS, PSC, or any key classification that affects fit or teaming.</x:t>
        </x:r>
      </x:text>
    </x:comment>
    <x:comment ref="B12" authorId="0">
      <x:text>
        <x:r>
          <x:t>Enter the exact deadline and time zone from the latest solicitation update.</x:t>
        </x:r>
      </x:text>
    </x:comment>
    <x:comment ref="B13" authorId="0">
      <x:text>
        <x:r>
          <x:t>Example: PIEE / SAM.gov / email / procurement portal / oral presentation.</x:t>
        </x:r>
      </x:text>
    </x:comment>
    <x:comment ref="B19" authorId="0">
      <x:text>
        <x:r>
          <x:t>Paste the public opportunity link or internal GovTribe URL.</x:t>
        </x:r>
      </x:text>
    </x:comment>
    <x:comment ref="B24" authorId="0">
      <x:text>
        <x:r>
          <x:t>If there is no page limit, note 'None stated' instead of leaving it blank.</x:t>
        </x:r>
      </x:text>
    </x:comment>
  </x:commentList>
</x:comments>
</file>

<file path=xl/comments2.xml><?xml version="1.0" encoding="utf-8"?>
<x:comments xmlns:x="http://schemas.openxmlformats.org/spreadsheetml/2006/main">
  <x:authors>
    <x:author>GovTribe</x:author>
  </x:authors>
  <x:commentList>
    <x:comment ref="E7" authorId="0">
      <x:text>
        <x:r>
          <x:t>Record the exact source location, e.g., L.3.2 p.47 or PWS 5.1.3 para 2.</x:t>
        </x:r>
      </x:text>
    </x:comment>
    <x:comment ref="F7" authorId="0">
      <x:text>
        <x:r>
          <x:t>Paste the requirement in the customer's language. Avoid combining unrelated requirements in one row.</x:t>
        </x:r>
      </x:text>
    </x:comment>
    <x:comment ref="G7" authorId="0">
      <x:text>
        <x:r>
          <x:t>Explain what the team must do in the proposal or solution to address the requirement.</x:t>
        </x:r>
      </x:text>
    </x:comment>
    <x:comment ref="H7" authorId="0">
      <x:text>
        <x:r>
          <x:t>Select the proposal volume or part where the answer will appear.</x:t>
        </x:r>
      </x:text>
    </x:comment>
    <x:comment ref="I7" authorId="0">
      <x:text>
        <x:r>
          <x:t>Use the proposal outline / storyboard section number that will carry the answer.</x:t>
        </x:r>
      </x:text>
    </x:comment>
    <x:comment ref="O7" authorId="0">
      <x:text>
        <x:r>
          <x:t>Capture evaluator focus, discriminators, or proof points signaled by Section M.</x:t>
        </x:r>
      </x:text>
    </x:comment>
    <x:comment ref="P7" authorId="0">
      <x:text>
        <x:r>
          <x:t>Update after production with the actual final location so reviewers can spot-check.</x:t>
        </x:r>
      </x:text>
    </x:comment>
    <x:comment ref="T7" authorId="0">
      <x:text>
        <x:r>
          <x:t>Use a plain text URL for the source document, portal, amendment, or Q&amp;A post.</x:t>
        </x:r>
      </x:text>
    </x:comment>
    <x:comment ref="U7" authorId="0">
      <x:text>
        <x:r>
          <x:t>Derived flag based on posture, ownership, and final location.</x:t>
        </x:r>
      </x:text>
    </x:comment>
  </x:commentList>
</x:comments>
</file>

<file path=xl/comments3.xml><?xml version="1.0" encoding="utf-8"?>
<x:comments xmlns:x="http://schemas.openxmlformats.org/spreadsheetml/2006/main">
  <x:authors>
    <x:author>GovTribe</x:author>
  </x:authors>
  <x:commentList>
    <x:comment ref="B7" authorId="0">
      <x:text>
        <x:r>
          <x:t>Record the exact Section M reference or equivalent evaluation text.</x:t>
        </x:r>
      </x:text>
    </x:comment>
    <x:comment ref="D7" authorId="0">
      <x:text>
        <x:r>
          <x:t>Use the stated relative importance when the RFP provides it; otherwise choose Not Stated.</x:t>
        </x:r>
      </x:text>
    </x:comment>
    <x:comment ref="F7" authorId="0">
      <x:text>
        <x:r>
          <x:t>List the linked requirement IDs so reviewers can test whether every factor is backed by evidence.</x:t>
        </x:r>
      </x:text>
    </x:comment>
    <x:comment ref="J7" authorId="0">
      <x:text>
        <x:r>
          <x:t>Capture hot buttons, proof points, and discriminators to emphasize during reviews.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m/d/yyyy h:mm"/>
    <x:numFmt numFmtId="165" formatCode="m/d/yyyy"/>
  </x:numFmts>
  <x:fonts count="11">
    <x:font>
      <x:sz val="11"/>
      <x:color theme="1"/>
      <x:name val="Calibri"/>
      <x:family val="2"/>
      <x:scheme val="minor"/>
    </x:font>
    <x:font>
      <x:b/>
      <x:sz val="10"/>
      <x:color rgb="00000000"/>
      <x:name val="Calibri"/>
    </x:font>
    <x:font>
      <x:b/>
      <x:sz val="16"/>
      <x:color rgb="001F4E78"/>
      <x:name val="Calibri"/>
    </x:font>
    <x:font>
      <x:i/>
      <x:sz val="10"/>
      <x:color rgb="007030A0"/>
      <x:name val="Calibri"/>
    </x:font>
    <x:font>
      <x:b/>
      <x:sz val="11"/>
      <x:color rgb="00FFFFFF"/>
      <x:name val="Calibri"/>
    </x:font>
    <x:font>
      <x:sz val="10"/>
      <x:color rgb="00000000"/>
      <x:name val="Calibri"/>
    </x:font>
    <x:font>
      <x:i/>
      <x:sz val="9"/>
      <x:color rgb="00666666"/>
      <x:name val="Calibri"/>
    </x:font>
    <x:font>
      <x:sz val="10"/>
      <x:color rgb="002F75B5"/>
      <x:name val="Calibri"/>
    </x:font>
    <x:font>
      <x:b/>
      <x:sz val="10"/>
      <x:color rgb="00FFFFFF"/>
      <x:name val="Calibri"/>
    </x:font>
    <x:font>
      <x:b/>
      <x:sz val="13"/>
      <x:color rgb="001F4E78"/>
      <x:name val="Calibri"/>
    </x:font>
    <x:font>
      <x:sz val="10"/>
      <x:color rgb="00008000"/>
      <x:name val="Calibri"/>
    </x:font>
  </x:fonts>
  <x:fills count="11">
    <x:fill>
      <x:patternFill patternType="none"/>
    </x:fill>
    <x:fill>
      <x:patternFill patternType="gray125"/>
    </x:fill>
    <x:fill>
      <x:patternFill patternType="solid">
        <x:fgColor rgb="00FFFFFF"/>
      </x:patternFill>
    </x:fill>
    <x:fill>
      <x:patternFill patternType="solid">
        <x:fgColor rgb="001F4E78"/>
      </x:patternFill>
    </x:fill>
    <x:fill>
      <x:patternFill patternType="solid">
        <x:fgColor rgb="00E7E6E6"/>
      </x:patternFill>
    </x:fill>
    <x:fill>
      <x:patternFill patternType="solid">
        <x:fgColor rgb="00D9EAF7"/>
      </x:patternFill>
    </x:fill>
    <x:fill>
      <x:patternFill patternType="solid">
        <x:fgColor rgb="00E2F0D9"/>
      </x:patternFill>
    </x:fill>
    <x:fill>
      <x:patternFill patternType="solid">
        <x:fgColor rgb="00FCE4D6"/>
      </x:patternFill>
    </x:fill>
    <x:fill>
      <x:patternFill patternType="solid">
        <x:fgColor rgb="007030A0"/>
      </x:patternFill>
    </x:fill>
    <x:fill>
      <x:patternFill patternType="solid">
        <x:fgColor rgb="00FFF2CC"/>
      </x:patternFill>
    </x:fill>
    <x:fill>
      <x:patternFill patternType="solid">
        <x:fgColor rgb="00F7FBFF"/>
      </x:patternFill>
    </x:fill>
  </x:fills>
  <x:borders count="7">
    <x:border>
      <x:left/>
      <x:right/>
      <x:top/>
      <x:bottom/>
      <x:diagonal/>
    </x:border>
    <x:border>
      <x:left style="thin">
        <x:color rgb="00D0D7E5"/>
      </x:left>
      <x:right style="thin">
        <x:color rgb="00D0D7E5"/>
      </x:right>
      <x:top style="thin">
        <x:color rgb="00D0D7E5"/>
      </x:top>
      <x:bottom style="thin">
        <x:color rgb="00D0D7E5"/>
      </x:bottom>
    </x:border>
    <x:border>
      <x:left/>
      <x:right style="thin">
        <x:color rgb="00D0D7E5"/>
      </x:right>
      <x:top/>
      <x:bottom style="thin">
        <x:color rgb="00D0D7E5"/>
      </x:bottom>
      <x:diagonal/>
    </x:border>
    <x:border>
      <x:left/>
      <x:right style="thin">
        <x:color rgb="00D0D7E5"/>
      </x:right>
      <x:top/>
      <x:bottom/>
      <x:diagonal/>
    </x:border>
    <x:border>
      <x:left/>
      <x:right/>
      <x:top/>
      <x:bottom style="thin">
        <x:color rgb="00D0D7E5"/>
      </x:bottom>
      <x:diagonal/>
    </x:border>
    <x:border>
      <x:left style="thin">
        <x:color rgb="00B7C9E2"/>
      </x:left>
      <x:right style="thin">
        <x:color rgb="00B7C9E2"/>
      </x:right>
      <x:top style="thin">
        <x:color rgb="00B7C9E2"/>
      </x:top>
      <x:bottom style="thin">
        <x:color rgb="00B7C9E2"/>
      </x:bottom>
    </x:border>
    <x:border/>
  </x:borders>
  <x:cellStyleXfs count="1">
    <x:xf numFmtId="0" fontId="0" fillId="0" borderId="0"/>
  </x:cellStyleXfs>
  <x:cellXfs count="35">
    <x:xf numFmtId="0" fontId="0" fillId="0" borderId="0" xfId="0"/>
    <x:xf numFmtId="0" fontId="2" fillId="2" borderId="0" xfId="0" applyAlignment="1">
      <x:alignment horizontal="left" vertical="center" wrapText="1"/>
    </x:xf>
    <x:xf numFmtId="0" fontId="3" fillId="2" borderId="0" xfId="0" applyAlignment="1">
      <x:alignment horizontal="left" vertical="center" wrapText="1"/>
    </x:xf>
    <x:xf numFmtId="0" fontId="4" fillId="3" borderId="1" xfId="0" applyAlignment="1">
      <x:alignment horizontal="left" vertical="center" wrapText="1"/>
    </x:xf>
    <x:xf numFmtId="0" fontId="5" fillId="2" borderId="1" xfId="0" applyAlignment="1">
      <x:alignment horizontal="left" vertical="center" wrapText="1"/>
    </x:xf>
    <x:xf numFmtId="0" fontId="1" fillId="4" borderId="1" xfId="0" applyAlignment="1">
      <x:alignment horizontal="left" vertical="center" wrapText="1"/>
    </x:xf>
    <x:xf numFmtId="0" fontId="1" fillId="5" borderId="1" xfId="0" applyAlignment="1">
      <x:alignment horizontal="center" vertical="center" wrapText="1"/>
    </x:xf>
    <x:xf numFmtId="0" fontId="1" fillId="6" borderId="1" xfId="0" applyAlignment="1">
      <x:alignment horizontal="center" vertical="center" wrapText="1"/>
    </x:xf>
    <x:xf numFmtId="0" fontId="1" fillId="4" borderId="1" xfId="0" applyAlignment="1">
      <x:alignment horizontal="center" vertical="center" wrapText="1"/>
    </x:xf>
    <x:xf numFmtId="0" fontId="1" fillId="7" borderId="1" xfId="0" applyAlignment="1">
      <x:alignment horizontal="center" vertical="center" wrapText="1"/>
    </x:xf>
    <x:xf numFmtId="0" fontId="1" fillId="8" borderId="1" xfId="0" applyAlignment="1">
      <x:alignment horizontal="center" vertical="center" wrapText="1"/>
    </x:xf>
    <x:xf numFmtId="0" fontId="6" fillId="2" borderId="0" xfId="0" applyAlignment="1">
      <x:alignment horizontal="left" vertical="center" wrapText="1"/>
    </x:xf>
    <x:xf numFmtId="0" fontId="7" fillId="5" borderId="1" xfId="0" applyAlignment="1">
      <x:alignment horizontal="left" vertical="center" wrapText="1"/>
    </x:xf>
    <x:xf numFmtId="0" fontId="8" fillId="3" borderId="5" xfId="0" applyAlignment="1">
      <x:alignment horizontal="center" vertical="center" wrapText="1"/>
    </x:xf>
    <x:xf numFmtId="164" fontId="7" fillId="5" borderId="1" xfId="0" applyAlignment="1">
      <x:alignment horizontal="center" vertical="center" wrapText="1"/>
    </x:xf>
    <x:xf numFmtId="0" fontId="5" fillId="7" borderId="1" xfId="0" applyAlignment="1">
      <x:alignment horizontal="center" vertical="center" wrapText="1"/>
    </x:xf>
    <x:xf numFmtId="0" fontId="7" fillId="5" borderId="1" xfId="0" applyAlignment="1">
      <x:alignment horizontal="center" vertical="center" wrapText="1"/>
    </x:xf>
    <x:xf numFmtId="0" fontId="5" fillId="9" borderId="1" xfId="0" applyAlignment="1">
      <x:alignment horizontal="left" vertical="center" wrapText="1"/>
    </x:xf>
    <x:xf numFmtId="0" fontId="8" fillId="3" borderId="1" xfId="0" applyAlignment="1">
      <x:alignment horizontal="center" vertical="center" wrapText="1"/>
    </x:xf>
    <x:xf numFmtId="0" fontId="9" fillId="10" borderId="1" xfId="0" applyAlignment="1">
      <x:alignment horizontal="center" vertical="center" wrapText="1"/>
    </x:xf>
    <x:xf numFmtId="0" fontId="5" fillId="2" borderId="1" xfId="0" applyAlignment="1">
      <x:alignment horizontal="center" vertical="center" wrapText="1"/>
    </x:xf>
    <x:xf numFmtId="0" fontId="5" fillId="5" borderId="1" xfId="0" applyAlignment="1">
      <x:alignment horizontal="left" vertical="top" wrapText="1"/>
    </x:xf>
    <x:xf numFmtId="0" fontId="5" fillId="6" borderId="1" xfId="0" applyAlignment="1">
      <x:alignment horizontal="left" vertical="top" wrapText="1"/>
    </x:xf>
    <x:xf numFmtId="0" fontId="10" fillId="6" borderId="1" xfId="0" applyAlignment="1">
      <x:alignment horizontal="left" vertical="top" wrapText="1"/>
    </x:xf>
    <x:xf numFmtId="0" fontId="8" fillId="8" borderId="1" xfId="0" applyAlignment="1">
      <x:alignment horizontal="center" vertical="center" wrapText="1"/>
    </x:xf>
    <x:xf numFmtId="0" fontId="1" fillId="4" borderId="1" xfId="0" applyAlignment="1">
      <x:alignment horizontal="left" vertical="top" wrapText="1"/>
    </x:xf>
    <x:xf numFmtId="0" fontId="5" fillId="4" borderId="1" xfId="0" applyAlignment="1">
      <x:alignment horizontal="left" vertical="top" wrapText="1"/>
    </x:xf>
    <x:xf numFmtId="0" fontId="5" fillId="2" borderId="1" xfId="0" applyAlignment="1">
      <x:alignment horizontal="left" vertical="top" wrapText="1"/>
    </x:xf>
    <x:xf numFmtId="0" fontId="7" fillId="5" borderId="1" xfId="0" applyAlignment="1">
      <x:alignment horizontal="left" vertical="top" wrapText="1"/>
    </x:xf>
    <x:xf numFmtId="165" fontId="7" fillId="5" borderId="1" xfId="0" applyAlignment="1">
      <x:alignment horizontal="center" vertical="center" wrapText="1"/>
    </x:xf>
    <x:xf numFmtId="0" fontId="1" fillId="5" borderId="1" xfId="0" applyAlignment="1">
      <x:alignment horizontal="left" vertical="top" wrapText="1"/>
    </x:xf>
    <x:xf numFmtId="165" fontId="5" fillId="5" borderId="1" xfId="0" applyAlignment="1">
      <x:alignment horizontal="center" vertical="center" wrapText="1"/>
    </x:xf>
    <x:xf numFmtId="0" fontId="1" fillId="2" borderId="1" xfId="0" applyAlignment="1">
      <x:alignment horizontal="left" vertical="top" wrapText="1"/>
    </x:xf>
    <x:xf numFmtId="0" fontId="1" fillId="0" borderId="0" xfId="0"/>
    <x:xf numFmtId="0" fontId="5" fillId="2" borderId="6" xfId="0" applyAlignment="1">
      <x:alignment horizontal="left" vertical="center" wrapText="1"/>
    </x:xf>
  </x:cellXfs>
  <x:cellStyles count="1">
    <x:cellStyle name="Normal" xfId="0"/>
  </x:cellStyles>
  <x:dxfs count="6">
    <x:dxf>
      <x:fill>
        <x:patternFill>
          <x:bgColor rgb="00FCE4D6"/>
        </x:patternFill>
      </x:fill>
    </x:dxf>
    <x:dxf>
      <x:fill>
        <x:patternFill>
          <x:bgColor rgb="00E2F0D9"/>
        </x:patternFill>
      </x:fill>
    </x:dxf>
    <x:dxf>
      <x:fill>
        <x:patternFill>
          <x:bgColor rgb="00FFF2CC"/>
        </x:patternFill>
      </x:fill>
    </x:dxf>
    <x:dxf>
      <x:fill>
        <x:patternFill>
          <x:bgColor rgb="00F4CCCC"/>
        </x:patternFill>
      </x:fill>
    </x:dxf>
    <x:dxf>
      <x:fill>
        <x:patternFill>
          <x:bgColor rgb="00E7E6E6"/>
        </x:patternFill>
      </x:fill>
    </x:dxf>
    <x:dxf>
      <x:fill>
        <x:patternFill>
          <x:bgColor rgb="00D9EAF7"/>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f3896a3e34a4ca6" /><Relationship Type="http://schemas.openxmlformats.org/officeDocument/2006/relationships/theme" Target="/xl/theme/theme1.xml" Id="R03d36106a2f1462f" /><Relationship Type="http://schemas.openxmlformats.org/officeDocument/2006/relationships/sharedStrings" Target="/xl/sharedStrings.xml" Id="R0d5050fbbb024e64" /><Relationship Type="http://schemas.openxmlformats.org/officeDocument/2006/relationships/worksheet" Target="/xl/worksheets/sheet1.xml" Id="Re1e77d3d25374505" /><Relationship Type="http://schemas.openxmlformats.org/officeDocument/2006/relationships/worksheet" Target="/xl/worksheets/sheet2.xml" Id="R43d44f12721848eb" /><Relationship Type="http://schemas.openxmlformats.org/officeDocument/2006/relationships/worksheet" Target="/xl/worksheets/sheet3.xml" Id="R8f836c92d7d64150" /><Relationship Type="http://schemas.openxmlformats.org/officeDocument/2006/relationships/worksheet" Target="/xl/worksheets/sheet4.xml" Id="R7bf6f751b11d48f8" /><Relationship Type="http://schemas.openxmlformats.org/officeDocument/2006/relationships/worksheet" Target="/xl/worksheets/sheet5.xml" Id="R86b0c9c805ba40e8" /><Relationship Type="http://schemas.openxmlformats.org/officeDocument/2006/relationships/worksheet" Target="/xl/worksheets/sheet6.xml" Id="R52ba551f6a15487e" /><Relationship Type="http://schemas.openxmlformats.org/officeDocument/2006/relationships/worksheet" Target="/xl/worksheets/sheet7.xml" Id="Rd6a301de5b414506" /><Relationship Type="http://schemas.openxmlformats.org/officeDocument/2006/relationships/worksheet" Target="/xl/worksheets/sheet8.xml" Id="Rac1f5d22b0aa460a" /><Relationship Type="http://schemas.openxmlformats.org/officeDocument/2006/relationships/worksheet" Target="/xl/worksheets/sheet9.xml" Id="Rc790ed8f530e4373" /><Relationship Type="http://schemas.openxmlformats.org/officeDocument/2006/relationships/worksheet" Target="/xl/worksheets/sheet10.xml" Id="R6638456ef20745b7" /><Relationship Type="http://schemas.openxmlformats.org/officeDocument/2006/relationships/worksheet" Target="/xl/worksheets/sheet11.xml" Id="R25092dac733a4cc5" /><Relationship Type="http://schemas.microsoft.com/office/2017/10/relationships/person" Target="/xl/persons/person.xml" Id="R587eb50129184dc5" /></Relationships>
</file>

<file path=xl/persons/person.xml><?xml version="1.0" encoding="utf-8"?>
<xltc:personList xmlns:xltc="http://schemas.microsoft.com/office/spreadsheetml/2018/threadedcomments">
  <xltc:person displayName="GovTribe" id="{4284CCB1-3AE4-E5DB-1B65-53D0B4FD2728}"/>
  <xltc:person displayName="GovTribe" id="{69154F59-BA5F-D2E7-4D72-D60DAAC377BC}"/>
  <xltc:person displayName="GovTribe" id="{54A85043-0441-A3E7-6E91-D831A668683D}"/>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acaf976dace24ef4" /><Relationship Type="http://schemas.openxmlformats.org/officeDocument/2006/relationships/vmlDrawing" Target="/xl/drawings/vmldrawing.vml" Id="Rb9f07bc875f64fb3" /></Relationships>
</file>

<file path=xl/worksheets/_rels/sheet4.xml.rels>&#65279;<?xml version="1.0" encoding="utf-8"?><Relationships xmlns="http://schemas.openxmlformats.org/package/2006/relationships"><Relationship Type="http://schemas.openxmlformats.org/officeDocument/2006/relationships/comments" Target="/xl/comments2.xml" Id="R4aaef4d6f0c144aa" /><Relationship Type="http://schemas.openxmlformats.org/officeDocument/2006/relationships/vmlDrawing" Target="/xl/drawings/vmldrawing2.vml" Id="R44666e67f35c4ac2" /></Relationships>
</file>

<file path=xl/worksheets/_rels/sheet5.xml.rels>&#65279;<?xml version="1.0" encoding="utf-8"?><Relationships xmlns="http://schemas.openxmlformats.org/package/2006/relationships"><Relationship Type="http://schemas.openxmlformats.org/officeDocument/2006/relationships/comments" Target="/xl/comments3.xml" Id="R8eae798c7f714cb7" /><Relationship Type="http://schemas.openxmlformats.org/officeDocument/2006/relationships/vmlDrawing" Target="/xl/drawings/vmldrawing3.vml" Id="R0cb3974636a746e3"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18" customWidth="1"/>
    <x:col min="2" max="2" width="56" customWidth="1"/>
    <x:col min="3" max="3" width="22" customWidth="1"/>
    <x:col min="4" max="4" width="18" customWidth="1"/>
    <x:col min="5" max="5" width="18" customWidth="1"/>
    <x:col min="6" max="6" width="18" customWidth="1"/>
    <x:col min="7" max="7" width="18" customWidth="1"/>
  </x:cols>
  <x:sheetData>
    <x:row r="1" ht="28" customHeight="1">
      <x:c r="A1" s="1" t="inlineStr">
        <x:is>
          <x:t xml:space="preserve">GovTribe Proposal Control Workbook</x:t>
        </x:is>
      </x:c>
      <x:c r="B1" s="1" t="n"/>
      <x:c r="C1" s="1" t="n"/>
      <x:c r="D1" s="1" t="n"/>
      <x:c r="E1" s="1" t="n"/>
      <x:c r="F1" s="1" t="n"/>
      <x:c r="G1" s="1" t="n"/>
    </x:row>
    <x:row r="2" ht="22" customHeight="1">
      <x:c r="A2" s="2" t="inlineStr">
        <x:is>
          <x:t xml:space="preserve">Reusable workbook template for building a proposal requirement matrix / proposal control book for government contractors.</x:t>
        </x:is>
      </x:c>
      <x:c r="B2" s="2" t="n"/>
      <x:c r="C2" s="2" t="n"/>
      <x:c r="D2" s="2" t="n"/>
      <x:c r="E2" s="2" t="n"/>
      <x:c r="F2" s="2" t="n"/>
      <x:c r="G2" s="2" t="n"/>
    </x:row>
    <x:row r="3" ht="24" customHeight="1"/>
    <x:row r="4" ht="24" customHeight="1">
      <x:c r="A4" s="3" t="inlineStr">
        <x:is>
          <x:t xml:space="preserve">What this workbook does</x:t>
        </x:is>
      </x:c>
      <x:c r="B4" s="3" t="n"/>
      <x:c r="C4" s="3" t="n"/>
      <x:c r="D4" s="3" t="n"/>
      <x:c r="E4" s="3" t="n"/>
      <x:c r="F4" s="3" t="n"/>
      <x:c r="G4" s="3" t="n"/>
    </x:row>
    <x:row r="5" ht="24" customHeight="1">
      <x:c r="A5" s="4" t="inlineStr">
        <x:is>
          <x:t xml:space="preserve">It gives the capture and proposal team one place to trace solicitation requirements, evaluation criteria, packaging rules, changes from amendments, and final proposal locations. The design is tuned to federal RFP practice: separate requirements into distinct rows, track exact citations, and keep Section M evaluation themes visible during writing and review.</x:t>
        </x:is>
      </x:c>
      <x:c r="B5" s="4" t="n"/>
      <x:c r="C5" s="4" t="n"/>
      <x:c r="D5" s="4" t="n"/>
      <x:c r="E5" s="4" t="n"/>
      <x:c r="F5" s="4" t="n"/>
      <x:c r="G5" s="4" t="n"/>
    </x:row>
    <x:row r="6" ht="24" customHeight="1">
      <x:c r="A6" s="4" t="n"/>
      <x:c r="B6" s="4" t="n"/>
      <x:c r="C6" s="4" t="n"/>
      <x:c r="D6" s="4" t="n"/>
      <x:c r="E6" s="4" t="n"/>
      <x:c r="F6" s="4" t="n"/>
      <x:c r="G6" s="4" t="n"/>
    </x:row>
    <x:row r="7" ht="24" customHeight="1"/>
    <x:row r="8" ht="24" customHeight="1">
      <x:c r="A8" s="3" t="inlineStr">
        <x:is>
          <x:t xml:space="preserve">Workbook Contents</x:t>
        </x:is>
      </x:c>
      <x:c r="B8" s="3" t="n"/>
      <x:c r="D8" s="3" t="inlineStr">
        <x:is>
          <x:t xml:space="preserve">Data-Entry Legend</x:t>
        </x:is>
      </x:c>
      <x:c r="E8" s="3" t="n"/>
    </x:row>
    <x:row r="9" ht="24" customHeight="1">
      <x:c r="A9" s="5" t="inlineStr">
        <x:is>
          <x:t xml:space="preserve">Opportunity Setup</x:t>
        </x:is>
      </x:c>
      <x:c r="B9" s="4" t="inlineStr">
        <x:is>
          <x:t xml:space="preserve">Record opportunity profile, schedule, owners, and volume plan.</x:t>
        </x:is>
      </x:c>
      <x:c r="D9" s="6" t="inlineStr">
        <x:is>
          <x:t xml:space="preserve">Blue</x:t>
        </x:is>
      </x:c>
      <x:c r="E9" s="4" t="inlineStr">
        <x:is>
          <x:t xml:space="preserve">Editable team input</x:t>
        </x:is>
      </x:c>
    </x:row>
    <x:row r="10" ht="24" customHeight="1">
      <x:c r="A10" s="5" t="inlineStr">
        <x:is>
          <x:t xml:space="preserve">Dashboard</x:t>
        </x:is>
      </x:c>
      <x:c r="B10" s="4" t="inlineStr">
        <x:is>
          <x:t xml:space="preserve">Roll-up counts and flags for the proposal manager.</x:t>
        </x:is>
      </x:c>
      <x:c r="D10" s="7" t="inlineStr">
        <x:is>
          <x:t xml:space="preserve">Green</x:t>
        </x:is>
      </x:c>
      <x:c r="E10" s="4" t="inlineStr">
        <x:is>
          <x:t xml:space="preserve">Source traceability / URLs / imported references</x:t>
        </x:is>
      </x:c>
    </x:row>
    <x:row r="11" ht="24" customHeight="1">
      <x:c r="A11" s="5" t="inlineStr">
        <x:is>
          <x:t xml:space="preserve">Requirement Matrix</x:t>
        </x:is>
      </x:c>
      <x:c r="B11" s="4" t="inlineStr">
        <x:is>
          <x:t xml:space="preserve">One row per requirement with source, owner, status, and final location.</x:t>
        </x:is>
      </x:c>
      <x:c r="D11" s="8" t="inlineStr">
        <x:is>
          <x:t xml:space="preserve">Gray</x:t>
        </x:is>
      </x:c>
      <x:c r="E11" s="4" t="inlineStr">
        <x:is>
          <x:t xml:space="preserve">Static labels or preloaded controls</x:t>
        </x:is>
      </x:c>
    </x:row>
    <x:row r="12" ht="24" customHeight="1">
      <x:c r="A12" s="5" t="inlineStr">
        <x:is>
          <x:t xml:space="preserve">Evaluation Crosswalk</x:t>
        </x:is>
      </x:c>
      <x:c r="B12" s="4" t="inlineStr">
        <x:is>
          <x:t xml:space="preserve">Translate Section M factors into writing and review actions.</x:t>
        </x:is>
      </x:c>
      <x:c r="D12" s="9" t="inlineStr">
        <x:is>
          <x:t xml:space="preserve">Orange</x:t>
        </x:is>
      </x:c>
      <x:c r="E12" s="4" t="inlineStr">
        <x:is>
          <x:t xml:space="preserve">Review / caution / status</x:t>
        </x:is>
      </x:c>
    </x:row>
    <x:row r="13" ht="24" customHeight="1">
      <x:c r="A13" s="5" t="inlineStr">
        <x:is>
          <x:t xml:space="preserve">Submission Checklist</x:t>
        </x:is>
      </x:c>
      <x:c r="B13" s="4" t="inlineStr">
        <x:is>
          <x:t xml:space="preserve">Preloaded controls for format, packaging, forms, and final submission.</x:t>
        </x:is>
      </x:c>
      <x:c r="D13" s="10" t="inlineStr">
        <x:is>
          <x:t xml:space="preserve">Purple</x:t>
        </x:is>
      </x:c>
      <x:c r="E13" s="4" t="inlineStr">
        <x:is>
          <x:t xml:space="preserve">Derived control logic</x:t>
        </x:is>
      </x:c>
    </x:row>
    <x:row r="14" ht="24" customHeight="1">
      <x:c r="A14" s="5" t="inlineStr">
        <x:is>
          <x:t xml:space="preserve">Pricing &amp; Deliverables</x:t>
        </x:is>
      </x:c>
      <x:c r="B14" s="4" t="inlineStr">
        <x:is>
          <x:t xml:space="preserve">Track CLINs, deliverables, attachments, and related price artifacts.</x:t>
        </x:is>
      </x:c>
    </x:row>
    <x:row r="15" ht="24" customHeight="1">
      <x:c r="A15" s="5" t="inlineStr">
        <x:is>
          <x:t xml:space="preserve">Questions-Risks</x:t>
        </x:is>
      </x:c>
      <x:c r="B15" s="4" t="inlineStr">
        <x:is>
          <x:t xml:space="preserve">Log ambiguities, assumptions, risks, and decisions.</x:t>
        </x:is>
      </x:c>
      <x:c r="D15" s="3" t="inlineStr">
        <x:is>
          <x:t xml:space="preserve">Best-practice principles baked into the template</x:t>
        </x:is>
      </x:c>
      <x:c r="E15" s="3" t="n"/>
      <x:c r="F15" s="3" t="n"/>
      <x:c r="G15" s="3" t="n"/>
    </x:row>
    <x:row r="16" ht="24" customHeight="1">
      <x:c r="A16" s="5" t="inlineStr">
        <x:is>
          <x:t xml:space="preserve">Amendment Log</x:t>
        </x:is>
      </x:c>
      <x:c r="B16" s="4" t="inlineStr">
        <x:is>
          <x:t xml:space="preserve">Capture every amendment / Q&amp;A change and required follow-up.</x:t>
        </x:is>
      </x:c>
      <x:c r="D16" s="4" t="inlineStr">
        <x:is>
          <x:t xml:space="preserve">• Keep each requirement in its own row; do not bundle unrelated shall / must / response instructions.</x:t>
        </x:is>
      </x:c>
      <x:c r="E16" s="4" t="n"/>
      <x:c r="F16" s="4" t="n"/>
      <x:c r="G16" s="4" t="n"/>
    </x:row>
    <x:row r="17" ht="24" customHeight="1">
      <x:c r="A17" s="5" t="inlineStr">
        <x:is>
          <x:t xml:space="preserve">Sources</x:t>
        </x:is>
      </x:c>
      <x:c r="B17" s="4" t="inlineStr">
        <x:is>
          <x:t xml:space="preserve">Preserve the workbook research basis and opportunity-specific source register.</x:t>
        </x:is>
      </x:c>
      <x:c r="D17" s="4" t="inlineStr">
        <x:is>
          <x:t xml:space="preserve">• Capture the exact source citation and preserve customer wording before interpreting it.</x:t>
        </x:is>
      </x:c>
      <x:c r="E17" s="4" t="n"/>
      <x:c r="F17" s="4" t="n"/>
      <x:c r="G17" s="4" t="n"/>
    </x:row>
    <x:row r="18" ht="24" customHeight="1">
      <x:c r="D18" s="4" t="inlineStr">
        <x:is>
          <x:t xml:space="preserve">• Crosswalk Section M evaluation factors separately so reviewers can test win themes and discriminators.</x:t>
        </x:is>
      </x:c>
      <x:c r="E18" s="4" t="n"/>
      <x:c r="F18" s="4" t="n"/>
      <x:c r="G18" s="4" t="n"/>
    </x:row>
    <x:row r="19" ht="24" customHeight="1">
      <x:c r="D19" s="4" t="inlineStr">
        <x:is>
          <x:t xml:space="preserve">• Track the final proposal page / file location so internal reviewers can spot-check compliance quickly.</x:t>
        </x:is>
      </x:c>
      <x:c r="E19" s="4" t="n"/>
      <x:c r="F19" s="4" t="n"/>
      <x:c r="G19" s="4" t="n"/>
    </x:row>
    <x:row r="20" ht="24" customHeight="1">
      <x:c r="A20" s="3" t="inlineStr">
        <x:is>
          <x:t xml:space="preserve">Use it like this</x:t>
        </x:is>
      </x:c>
      <x:c r="B20" s="3" t="n"/>
      <x:c r="C20" s="3" t="n"/>
      <x:c r="D20" s="3" t="n"/>
      <x:c r="E20" s="3" t="n"/>
      <x:c r="F20" s="3" t="n"/>
      <x:c r="G20" s="3" t="n"/>
    </x:row>
    <x:row r="21" ht="24" customHeight="1">
      <x:c r="A21" s="4" t="inlineStr">
        <x:is>
          <x:t xml:space="preserve">1. Complete Opportunity Setup and load the latest solicitation sources.</x:t>
        </x:is>
      </x:c>
      <x:c r="B21" s="4" t="n"/>
      <x:c r="C21" s="4" t="n"/>
      <x:c r="D21" s="4" t="n"/>
      <x:c r="E21" s="4" t="n"/>
      <x:c r="F21" s="4" t="n"/>
      <x:c r="G21" s="4" t="n"/>
    </x:row>
    <x:row r="22" ht="24" customHeight="1">
      <x:c r="A22" s="4" t="inlineStr">
        <x:is>
          <x:t xml:space="preserve">2. Populate the Requirement Matrix from Sections C / PWS / SOW, L, M, attachments, amendments, and Q&amp;A.</x:t>
        </x:is>
      </x:c>
      <x:c r="B22" s="4" t="n"/>
      <x:c r="C22" s="4" t="n"/>
      <x:c r="D22" s="4" t="n"/>
      <x:c r="E22" s="4" t="n"/>
      <x:c r="F22" s="4" t="n"/>
      <x:c r="G22" s="4" t="n"/>
    </x:row>
    <x:row r="23" ht="24" customHeight="1">
      <x:c r="A23" s="4" t="inlineStr">
        <x:is>
          <x:t xml:space="preserve">3. Build the Evaluation Crosswalk from Section M so themes and discriminators stay visible.</x:t>
        </x:is>
      </x:c>
      <x:c r="B23" s="4" t="n"/>
      <x:c r="C23" s="4" t="n"/>
      <x:c r="D23" s="4" t="n"/>
      <x:c r="E23" s="4" t="n"/>
      <x:c r="F23" s="4" t="n"/>
      <x:c r="G23" s="4" t="n"/>
    </x:row>
    <x:row r="24" ht="24" customHeight="1">
      <x:c r="A24" s="4" t="inlineStr">
        <x:is>
          <x:t xml:space="preserve">4. Use the Dashboard during reviews to focus on gaps, missing owners, and missing final locations.</x:t>
        </x:is>
      </x:c>
      <x:c r="B24" s="4" t="n"/>
      <x:c r="C24" s="4" t="n"/>
      <x:c r="D24" s="4" t="n"/>
      <x:c r="E24" s="4" t="n"/>
      <x:c r="F24" s="4" t="n"/>
      <x:c r="G24" s="4" t="n"/>
    </x:row>
    <x:row r="25" ht="24" customHeight="1">
      <x:c r="A25" s="4" t="inlineStr">
        <x:is>
          <x:t xml:space="preserve">5. Run the Submission Checklist before production and save proof of submission.</x:t>
        </x:is>
      </x:c>
      <x:c r="B25" s="4" t="n"/>
      <x:c r="C25" s="4" t="n"/>
      <x:c r="D25" s="4" t="n"/>
      <x:c r="E25" s="4" t="n"/>
      <x:c r="F25" s="4" t="n"/>
      <x:c r="G25" s="4" t="n"/>
    </x:row>
    <x:row r="26" ht="24" customHeight="1"/>
    <x:row r="27" ht="24" customHeight="1"/>
    <x:row r="28" ht="24" customHeight="1"/>
    <x:row r="29" ht="24" customHeight="1">
      <x:c r="A29" s="11" t="inlineStr">
        <x:is>
          <x:t xml:space="preserve">Research sources supporting this template are listed on the Sources sheet with plain-text URLs so your team can keep or adapt the design rationale.</x:t>
        </x:is>
      </x:c>
      <x:c r="B29" s="11" t="n"/>
      <x:c r="C29" s="11" t="n"/>
      <x:c r="D29" s="11" t="n"/>
      <x:c r="E29" s="11" t="n"/>
      <x:c r="F29" s="11" t="n"/>
      <x:c r="G29" s="11" t="n"/>
    </x:row>
    <x:row r="30" ht="24" customHeight="1">
      <x:c r="A30" s="11" t="n"/>
      <x:c r="B30" s="11" t="n"/>
      <x:c r="C30" s="11" t="n"/>
      <x:c r="D30" s="11" t="n"/>
      <x:c r="E30" s="11" t="n"/>
      <x:c r="F30" s="11" t="n"/>
      <x:c r="G30" s="11" t="n"/>
    </x:row>
    <x:row r="31" ht="24" customHeight="1">
      <x:c r="A31" s="11" t="n"/>
      <x:c r="B31" s="11" t="n"/>
      <x:c r="C31" s="11" t="n"/>
      <x:c r="D31" s="11" t="n"/>
      <x:c r="E31" s="11" t="n"/>
      <x:c r="F31" s="11" t="n"/>
      <x:c r="G31" s="11" t="n"/>
    </x:row>
  </x:sheetData>
  <x:mergeCells>
    <x:mergeCell ref="D18:G18"/>
    <x:mergeCell ref="A22:G22"/>
    <x:mergeCell ref="A4:G4"/>
    <x:mergeCell ref="A20:G20"/>
    <x:mergeCell ref="D15:G15"/>
    <x:mergeCell ref="A29:G31"/>
    <x:mergeCell ref="D20:G20"/>
    <x:mergeCell ref="A24:G24"/>
    <x:mergeCell ref="D19:G19"/>
    <x:mergeCell ref="A5:G6"/>
    <x:mergeCell ref="A1:G1"/>
    <x:mergeCell ref="A25:G25"/>
    <x:mergeCell ref="A8:B8"/>
    <x:mergeCell ref="D8:E8"/>
    <x:mergeCell ref="D17:G17"/>
    <x:mergeCell ref="A21:G21"/>
    <x:mergeCell ref="D16:G16"/>
    <x:mergeCell ref="A2:G2"/>
    <x:mergeCell ref="A23:G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2" customWidth="1"/>
    <x:col min="2" max="2" width="20" customWidth="1"/>
    <x:col min="3" max="3" width="18" customWidth="1"/>
    <x:col min="4" max="4" width="4" customWidth="1"/>
    <x:col min="5" max="5" width="20" customWidth="1"/>
    <x:col min="6" max="6" width="16" customWidth="1"/>
    <x:col min="7" max="7" width="18" customWidth="1"/>
    <x:col min="8" max="8" width="14" customWidth="1"/>
    <x:col min="9" max="9" width="26" customWidth="1"/>
  </x:cols>
  <x:sheetData>
    <x:row r="1" ht="28" customHeight="1">
      <x:c r="A1" s="1" t="inlineStr">
        <x:is>
          <x:t xml:space="preserve">Opportunity Setup</x:t>
        </x:is>
      </x:c>
      <x:c r="B1" s="1" t="n"/>
      <x:c r="C1" s="1" t="n"/>
      <x:c r="D1" s="1" t="n"/>
      <x:c r="E1" s="1" t="n"/>
      <x:c r="F1" s="1" t="n"/>
      <x:c r="G1" s="1" t="n"/>
      <x:c r="H1" s="1" t="n"/>
      <x:c r="I1" s="1" t="n"/>
    </x:row>
    <x:row r="2" ht="24" customHeight="1">
      <x:c r="A2" s="2" t="inlineStr">
        <x:is>
          <x:t xml:space="preserve">Set the pursuit profile, schedule, and proposal volume plan before the matrix build starts.</x:t>
        </x:is>
      </x:c>
      <x:c r="B2" s="2" t="n"/>
      <x:c r="C2" s="2" t="n"/>
      <x:c r="D2" s="2" t="n"/>
      <x:c r="E2" s="2" t="n"/>
      <x:c r="F2" s="2" t="n"/>
      <x:c r="G2" s="2" t="n"/>
      <x:c r="H2" s="2" t="n"/>
      <x:c r="I2" s="2" t="n"/>
    </x:row>
    <x:row r="3" ht="24" customHeight="1"/>
    <x:row r="4" ht="24" customHeight="1">
      <x:c r="A4" s="3" t="inlineStr">
        <x:is>
          <x:t xml:space="preserve">Opportunity Profile</x:t>
        </x:is>
      </x:c>
      <x:c r="B4" s="3" t="n"/>
      <x:c r="C4" s="3" t="n"/>
      <x:c r="E4" s="3" t="inlineStr">
        <x:is>
          <x:t xml:space="preserve">Review Schedule</x:t>
        </x:is>
      </x:c>
      <x:c r="F4" s="3" t="n"/>
      <x:c r="G4" s="3" t="n"/>
      <x:c r="H4" s="3" t="n"/>
      <x:c r="I4" s="3" t="n"/>
    </x:row>
    <x:row r="5" ht="24" customHeight="1">
      <x:c r="A5" s="5" t="inlineStr">
        <x:is>
          <x:t xml:space="preserve">Opportunity Name</x:t>
        </x:is>
      </x:c>
      <x:c r="B5" s="12" t="inlineStr">
        <x:is>
          <x:t xml:space="preserve"/>
        </x:is>
      </x:c>
      <x:c r="C5" s="12" t="n"/>
      <x:c r="E5" s="13" t="inlineStr">
        <x:is>
          <x:t xml:space="preserve">Milestone</x:t>
        </x:is>
      </x:c>
      <x:c r="F5" s="13" t="inlineStr">
        <x:is>
          <x:t xml:space="preserve">Date</x:t>
        </x:is>
      </x:c>
      <x:c r="G5" s="13" t="inlineStr">
        <x:is>
          <x:t xml:space="preserve">Owner</x:t>
        </x:is>
      </x:c>
      <x:c r="H5" s="13" t="inlineStr">
        <x:is>
          <x:t xml:space="preserve">Status</x:t>
        </x:is>
      </x:c>
      <x:c r="I5" s="13" t="inlineStr">
        <x:is>
          <x:t xml:space="preserve">Notes</x:t>
        </x:is>
      </x:c>
    </x:row>
    <x:row r="6" ht="24" customHeight="1">
      <x:c r="A6" s="5" t="inlineStr">
        <x:is>
          <x:t xml:space="preserve">Solicitation / Notice Number</x:t>
        </x:is>
      </x:c>
      <x:c r="B6" s="12" t="inlineStr">
        <x:is>
          <x:t xml:space="preserve"/>
        </x:is>
      </x:c>
      <x:c r="C6" s="12" t="n"/>
      <x:c r="E6" s="5" t="inlineStr">
        <x:is>
          <x:t xml:space="preserve">RFP released</x:t>
        </x:is>
      </x:c>
      <x:c r="F6" s="14" t="inlineStr">
        <x:is>
          <x:t xml:space="preserve"/>
        </x:is>
      </x:c>
      <x:c r="G6" s="12" t="inlineStr">
        <x:is>
          <x:t xml:space="preserve"/>
        </x:is>
      </x:c>
      <x:c r="H6" s="15" t="inlineStr">
        <x:is>
          <x:t xml:space="preserve"/>
        </x:is>
      </x:c>
      <x:c r="I6" s="4" t="inlineStr">
        <x:is>
          <x:t xml:space="preserve"/>
        </x:is>
      </x:c>
    </x:row>
    <x:row r="7" ht="24" customHeight="1">
      <x:c r="A7" s="5" t="inlineStr">
        <x:is>
          <x:t xml:space="preserve">Agency / Buying Office</x:t>
        </x:is>
      </x:c>
      <x:c r="B7" s="12" t="inlineStr">
        <x:is>
          <x:t xml:space="preserve"/>
        </x:is>
      </x:c>
      <x:c r="C7" s="12" t="n"/>
      <x:c r="E7" s="5" t="inlineStr">
        <x:is>
          <x:t xml:space="preserve">Question cutoff</x:t>
        </x:is>
      </x:c>
      <x:c r="F7" s="14" t="inlineStr">
        <x:is>
          <x:t xml:space="preserve"/>
        </x:is>
      </x:c>
      <x:c r="G7" s="12" t="inlineStr">
        <x:is>
          <x:t xml:space="preserve"/>
        </x:is>
      </x:c>
      <x:c r="H7" s="15" t="inlineStr">
        <x:is>
          <x:t xml:space="preserve"/>
        </x:is>
      </x:c>
      <x:c r="I7" s="4" t="inlineStr">
        <x:is>
          <x:t xml:space="preserve"/>
        </x:is>
      </x:c>
    </x:row>
    <x:row r="8" ht="24" customHeight="1">
      <x:c r="A8" s="5" t="inlineStr">
        <x:is>
          <x:t xml:space="preserve">Contract Type / Vehicle</x:t>
        </x:is>
      </x:c>
      <x:c r="B8" s="12" t="inlineStr">
        <x:is>
          <x:t xml:space="preserve"/>
        </x:is>
      </x:c>
      <x:c r="C8" s="12" t="n"/>
      <x:c r="E8" s="5" t="inlineStr">
        <x:is>
          <x:t xml:space="preserve">Last amendment watch</x:t>
        </x:is>
      </x:c>
      <x:c r="F8" s="14" t="inlineStr">
        <x:is>
          <x:t xml:space="preserve"/>
        </x:is>
      </x:c>
      <x:c r="G8" s="12" t="inlineStr">
        <x:is>
          <x:t xml:space="preserve"/>
        </x:is>
      </x:c>
      <x:c r="H8" s="15" t="inlineStr">
        <x:is>
          <x:t xml:space="preserve"/>
        </x:is>
      </x:c>
      <x:c r="I8" s="4" t="inlineStr">
        <x:is>
          <x:t xml:space="preserve"/>
        </x:is>
      </x:c>
    </x:row>
    <x:row r="9" ht="24" customHeight="1">
      <x:c r="A9" s="5" t="inlineStr">
        <x:is>
          <x:t xml:space="preserve">NAICS / PSC</x:t>
        </x:is>
      </x:c>
      <x:c r="B9" s="12" t="inlineStr">
        <x:is>
          <x:t xml:space="preserve"/>
        </x:is>
      </x:c>
      <x:c r="C9" s="12" t="n"/>
      <x:c r="E9" s="5" t="inlineStr">
        <x:is>
          <x:t xml:space="preserve">Storyboards complete</x:t>
        </x:is>
      </x:c>
      <x:c r="F9" s="14" t="inlineStr">
        <x:is>
          <x:t xml:space="preserve"/>
        </x:is>
      </x:c>
      <x:c r="G9" s="12" t="inlineStr">
        <x:is>
          <x:t xml:space="preserve"/>
        </x:is>
      </x:c>
      <x:c r="H9" s="15" t="inlineStr">
        <x:is>
          <x:t xml:space="preserve"/>
        </x:is>
      </x:c>
      <x:c r="I9" s="4" t="inlineStr">
        <x:is>
          <x:t xml:space="preserve"/>
        </x:is>
      </x:c>
    </x:row>
    <x:row r="10" ht="24" customHeight="1">
      <x:c r="A10" s="5" t="inlineStr">
        <x:is>
          <x:t xml:space="preserve">Set-Aside</x:t>
        </x:is>
      </x:c>
      <x:c r="B10" s="12" t="inlineStr">
        <x:is>
          <x:t xml:space="preserve"/>
        </x:is>
      </x:c>
      <x:c r="C10" s="12" t="n"/>
      <x:c r="E10" s="5" t="inlineStr">
        <x:is>
          <x:t xml:space="preserve">Pink team</x:t>
        </x:is>
      </x:c>
      <x:c r="F10" s="14" t="inlineStr">
        <x:is>
          <x:t xml:space="preserve"/>
        </x:is>
      </x:c>
      <x:c r="G10" s="12" t="inlineStr">
        <x:is>
          <x:t xml:space="preserve"/>
        </x:is>
      </x:c>
      <x:c r="H10" s="15" t="inlineStr">
        <x:is>
          <x:t xml:space="preserve"/>
        </x:is>
      </x:c>
      <x:c r="I10" s="4" t="inlineStr">
        <x:is>
          <x:t xml:space="preserve"/>
        </x:is>
      </x:c>
    </x:row>
    <x:row r="11" ht="24" customHeight="1">
      <x:c r="A11" s="5" t="inlineStr">
        <x:is>
          <x:t xml:space="preserve">Primary Place of Performance</x:t>
        </x:is>
      </x:c>
      <x:c r="B11" s="12" t="inlineStr">
        <x:is>
          <x:t xml:space="preserve"/>
        </x:is>
      </x:c>
      <x:c r="C11" s="12" t="n"/>
      <x:c r="E11" s="5" t="inlineStr">
        <x:is>
          <x:t xml:space="preserve">Red team</x:t>
        </x:is>
      </x:c>
      <x:c r="F11" s="14" t="inlineStr">
        <x:is>
          <x:t xml:space="preserve"/>
        </x:is>
      </x:c>
      <x:c r="G11" s="12" t="inlineStr">
        <x:is>
          <x:t xml:space="preserve"/>
        </x:is>
      </x:c>
      <x:c r="H11" s="15" t="inlineStr">
        <x:is>
          <x:t xml:space="preserve"/>
        </x:is>
      </x:c>
      <x:c r="I11" s="4" t="inlineStr">
        <x:is>
          <x:t xml:space="preserve"/>
        </x:is>
      </x:c>
    </x:row>
    <x:row r="12" ht="24" customHeight="1">
      <x:c r="A12" s="5" t="inlineStr">
        <x:is>
          <x:t xml:space="preserve">Proposal Due Date / Time</x:t>
        </x:is>
      </x:c>
      <x:c r="B12" s="12" t="inlineStr">
        <x:is>
          <x:t xml:space="preserve"/>
        </x:is>
      </x:c>
      <x:c r="C12" s="12" t="n"/>
      <x:c r="E12" s="5" t="inlineStr">
        <x:is>
          <x:t xml:space="preserve">Gold team</x:t>
        </x:is>
      </x:c>
      <x:c r="F12" s="14" t="inlineStr">
        <x:is>
          <x:t xml:space="preserve"/>
        </x:is>
      </x:c>
      <x:c r="G12" s="12" t="inlineStr">
        <x:is>
          <x:t xml:space="preserve"/>
        </x:is>
      </x:c>
      <x:c r="H12" s="15" t="inlineStr">
        <x:is>
          <x:t xml:space="preserve"/>
        </x:is>
      </x:c>
      <x:c r="I12" s="4" t="inlineStr">
        <x:is>
          <x:t xml:space="preserve"/>
        </x:is>
      </x:c>
    </x:row>
    <x:row r="13" ht="24" customHeight="1">
      <x:c r="A13" s="5" t="inlineStr">
        <x:is>
          <x:t xml:space="preserve">Submission Method / Portal</x:t>
        </x:is>
      </x:c>
      <x:c r="B13" s="12" t="inlineStr">
        <x:is>
          <x:t xml:space="preserve"/>
        </x:is>
      </x:c>
      <x:c r="C13" s="12" t="n"/>
      <x:c r="E13" s="5" t="inlineStr">
        <x:is>
          <x:t xml:space="preserve">Final production</x:t>
        </x:is>
      </x:c>
      <x:c r="F13" s="14" t="inlineStr">
        <x:is>
          <x:t xml:space="preserve"/>
        </x:is>
      </x:c>
      <x:c r="G13" s="12" t="inlineStr">
        <x:is>
          <x:t xml:space="preserve"/>
        </x:is>
      </x:c>
      <x:c r="H13" s="15" t="inlineStr">
        <x:is>
          <x:t xml:space="preserve"/>
        </x:is>
      </x:c>
      <x:c r="I13" s="4" t="inlineStr">
        <x:is>
          <x:t xml:space="preserve"/>
        </x:is>
      </x:c>
    </x:row>
    <x:row r="14" ht="24" customHeight="1">
      <x:c r="A14" s="5" t="inlineStr">
        <x:is>
          <x:t xml:space="preserve">Capture Manager</x:t>
        </x:is>
      </x:c>
      <x:c r="B14" s="12" t="inlineStr">
        <x:is>
          <x:t xml:space="preserve"/>
        </x:is>
      </x:c>
      <x:c r="C14" s="12" t="n"/>
      <x:c r="E14" s="5" t="inlineStr">
        <x:is>
          <x:t xml:space="preserve">Submission dry run</x:t>
        </x:is>
      </x:c>
      <x:c r="F14" s="14" t="inlineStr">
        <x:is>
          <x:t xml:space="preserve"/>
        </x:is>
      </x:c>
      <x:c r="G14" s="12" t="inlineStr">
        <x:is>
          <x:t xml:space="preserve"/>
        </x:is>
      </x:c>
      <x:c r="H14" s="15" t="inlineStr">
        <x:is>
          <x:t xml:space="preserve"/>
        </x:is>
      </x:c>
      <x:c r="I14" s="4" t="inlineStr">
        <x:is>
          <x:t xml:space="preserve"/>
        </x:is>
      </x:c>
    </x:row>
    <x:row r="15" ht="24" customHeight="1">
      <x:c r="A15" s="5" t="inlineStr">
        <x:is>
          <x:t xml:space="preserve">Proposal Manager</x:t>
        </x:is>
      </x:c>
      <x:c r="B15" s="12" t="inlineStr">
        <x:is>
          <x:t xml:space="preserve"/>
        </x:is>
      </x:c>
      <x:c r="C15" s="12" t="n"/>
      <x:c r="E15" s="5" t="inlineStr">
        <x:is>
          <x:t xml:space="preserve">Proposal submitted</x:t>
        </x:is>
      </x:c>
      <x:c r="F15" s="14" t="inlineStr">
        <x:is>
          <x:t xml:space="preserve"/>
        </x:is>
      </x:c>
      <x:c r="G15" s="12" t="inlineStr">
        <x:is>
          <x:t xml:space="preserve"/>
        </x:is>
      </x:c>
      <x:c r="H15" s="15" t="inlineStr">
        <x:is>
          <x:t xml:space="preserve"/>
        </x:is>
      </x:c>
      <x:c r="I15" s="4" t="inlineStr">
        <x:is>
          <x:t xml:space="preserve"/>
        </x:is>
      </x:c>
    </x:row>
    <x:row r="16" ht="24" customHeight="1">
      <x:c r="A16" s="5" t="inlineStr">
        <x:is>
          <x:t xml:space="preserve">Contracts Lead</x:t>
        </x:is>
      </x:c>
      <x:c r="B16" s="12" t="inlineStr">
        <x:is>
          <x:t xml:space="preserve"/>
        </x:is>
      </x:c>
      <x:c r="C16" s="12" t="n"/>
    </x:row>
    <x:row r="17" ht="24" customHeight="1">
      <x:c r="A17" s="5" t="inlineStr">
        <x:is>
          <x:t xml:space="preserve">Pricing Lead</x:t>
        </x:is>
      </x:c>
      <x:c r="B17" s="12" t="inlineStr">
        <x:is>
          <x:t xml:space="preserve"/>
        </x:is>
      </x:c>
      <x:c r="C17" s="12" t="n"/>
    </x:row>
    <x:row r="18" ht="24" customHeight="1">
      <x:c r="A18" s="5" t="inlineStr">
        <x:is>
          <x:t xml:space="preserve">Teaming / Partners</x:t>
        </x:is>
      </x:c>
      <x:c r="B18" s="12" t="inlineStr">
        <x:is>
          <x:t xml:space="preserve"/>
        </x:is>
      </x:c>
      <x:c r="C18" s="12" t="n"/>
    </x:row>
    <x:row r="19" ht="24" customHeight="1">
      <x:c r="A19" s="5" t="inlineStr">
        <x:is>
          <x:t xml:space="preserve">Opportunity URL</x:t>
        </x:is>
      </x:c>
      <x:c r="B19" s="12" t="inlineStr">
        <x:is>
          <x:t xml:space="preserve"/>
        </x:is>
      </x:c>
      <x:c r="C19" s="12" t="n"/>
    </x:row>
    <x:row r="20" ht="24" customHeight="1"/>
    <x:row r="21" ht="24" customHeight="1"/>
    <x:row r="22" ht="24" customHeight="1">
      <x:c r="A22" s="3" t="inlineStr">
        <x:is>
          <x:t xml:space="preserve">Volume Plan</x:t>
        </x:is>
      </x:c>
      <x:c r="B22" s="3" t="n"/>
      <x:c r="C22" s="3" t="n"/>
      <x:c r="D22" s="3" t="n"/>
      <x:c r="E22" s="3" t="n"/>
      <x:c r="F22" s="3" t="n"/>
      <x:c r="G22" s="3" t="n"/>
      <x:c r="H22" s="3" t="n"/>
      <x:c r="I22" s="3" t="n"/>
    </x:row>
    <x:row r="23" ht="24" customHeight="1">
      <x:c r="A23" s="13" t="inlineStr">
        <x:is>
          <x:t xml:space="preserve">Volume / Part</x:t>
        </x:is>
      </x:c>
      <x:c r="B23" s="13" t="inlineStr">
        <x:is>
          <x:t xml:space="preserve">Page Limit</x:t>
        </x:is>
      </x:c>
      <x:c r="C23" s="13" t="inlineStr">
        <x:is>
          <x:t xml:space="preserve">File Name / Label</x:t>
        </x:is>
      </x:c>
      <x:c r="D23" s="13" t="n"/>
      <x:c r="E23" s="13" t="inlineStr">
        <x:is>
          <x:t xml:space="preserve">Lead</x:t>
        </x:is>
      </x:c>
      <x:c r="F23" s="13" t="inlineStr">
        <x:is>
          <x:t xml:space="preserve">Status</x:t>
        </x:is>
      </x:c>
      <x:c r="G23" s="13" t="inlineStr">
        <x:is>
          <x:t xml:space="preserve">Notes</x:t>
        </x:is>
      </x:c>
      <x:c r="H23" s="13" t="n"/>
      <x:c r="I23" s="13" t="n"/>
    </x:row>
    <x:row r="24" ht="24" customHeight="1">
      <x:c r="A24" s="5" t="inlineStr">
        <x:is>
          <x:t xml:space="preserve">Executive / Cover</x:t>
        </x:is>
      </x:c>
      <x:c r="B24" s="16" t="inlineStr">
        <x:is>
          <x:t xml:space="preserve"/>
        </x:is>
      </x:c>
      <x:c r="C24" s="12" t="inlineStr">
        <x:is>
          <x:t xml:space="preserve"/>
        </x:is>
      </x:c>
      <x:c r="D24" s="12" t="n"/>
      <x:c r="E24" s="12" t="inlineStr">
        <x:is>
          <x:t xml:space="preserve"/>
        </x:is>
      </x:c>
      <x:c r="F24" s="15" t="inlineStr">
        <x:is>
          <x:t xml:space="preserve"/>
        </x:is>
      </x:c>
      <x:c r="G24" s="4" t="inlineStr">
        <x:is>
          <x:t xml:space="preserve"/>
        </x:is>
      </x:c>
      <x:c r="H24" s="4" t="n"/>
      <x:c r="I24" s="4" t="n"/>
    </x:row>
    <x:row r="25" ht="24" customHeight="1">
      <x:c r="A25" s="5" t="inlineStr">
        <x:is>
          <x:t xml:space="preserve">Technical</x:t>
        </x:is>
      </x:c>
      <x:c r="B25" s="16" t="inlineStr">
        <x:is>
          <x:t xml:space="preserve"/>
        </x:is>
      </x:c>
      <x:c r="C25" s="12" t="inlineStr">
        <x:is>
          <x:t xml:space="preserve"/>
        </x:is>
      </x:c>
      <x:c r="D25" s="12" t="n"/>
      <x:c r="E25" s="12" t="inlineStr">
        <x:is>
          <x:t xml:space="preserve"/>
        </x:is>
      </x:c>
      <x:c r="F25" s="15" t="inlineStr">
        <x:is>
          <x:t xml:space="preserve"/>
        </x:is>
      </x:c>
      <x:c r="G25" s="4" t="inlineStr">
        <x:is>
          <x:t xml:space="preserve"/>
        </x:is>
      </x:c>
      <x:c r="H25" s="4" t="n"/>
      <x:c r="I25" s="4" t="n"/>
    </x:row>
    <x:row r="26" ht="24" customHeight="1">
      <x:c r="A26" s="5" t="inlineStr">
        <x:is>
          <x:t xml:space="preserve">Management</x:t>
        </x:is>
      </x:c>
      <x:c r="B26" s="16" t="inlineStr">
        <x:is>
          <x:t xml:space="preserve"/>
        </x:is>
      </x:c>
      <x:c r="C26" s="12" t="inlineStr">
        <x:is>
          <x:t xml:space="preserve"/>
        </x:is>
      </x:c>
      <x:c r="D26" s="12" t="n"/>
      <x:c r="E26" s="12" t="inlineStr">
        <x:is>
          <x:t xml:space="preserve"/>
        </x:is>
      </x:c>
      <x:c r="F26" s="15" t="inlineStr">
        <x:is>
          <x:t xml:space="preserve"/>
        </x:is>
      </x:c>
      <x:c r="G26" s="4" t="inlineStr">
        <x:is>
          <x:t xml:space="preserve"/>
        </x:is>
      </x:c>
      <x:c r="H26" s="4" t="n"/>
      <x:c r="I26" s="4" t="n"/>
    </x:row>
    <x:row r="27" ht="24" customHeight="1">
      <x:c r="A27" s="5" t="inlineStr">
        <x:is>
          <x:t xml:space="preserve">Staffing</x:t>
        </x:is>
      </x:c>
      <x:c r="B27" s="16" t="inlineStr">
        <x:is>
          <x:t xml:space="preserve"/>
        </x:is>
      </x:c>
      <x:c r="C27" s="12" t="inlineStr">
        <x:is>
          <x:t xml:space="preserve"/>
        </x:is>
      </x:c>
      <x:c r="D27" s="12" t="n"/>
      <x:c r="E27" s="12" t="inlineStr">
        <x:is>
          <x:t xml:space="preserve"/>
        </x:is>
      </x:c>
      <x:c r="F27" s="15" t="inlineStr">
        <x:is>
          <x:t xml:space="preserve"/>
        </x:is>
      </x:c>
      <x:c r="G27" s="4" t="inlineStr">
        <x:is>
          <x:t xml:space="preserve"/>
        </x:is>
      </x:c>
      <x:c r="H27" s="4" t="n"/>
      <x:c r="I27" s="4" t="n"/>
    </x:row>
    <x:row r="28" ht="24" customHeight="1">
      <x:c r="A28" s="5" t="inlineStr">
        <x:is>
          <x:t xml:space="preserve">Past Performance</x:t>
        </x:is>
      </x:c>
      <x:c r="B28" s="16" t="inlineStr">
        <x:is>
          <x:t xml:space="preserve"/>
        </x:is>
      </x:c>
      <x:c r="C28" s="12" t="inlineStr">
        <x:is>
          <x:t xml:space="preserve"/>
        </x:is>
      </x:c>
      <x:c r="D28" s="12" t="n"/>
      <x:c r="E28" s="12" t="inlineStr">
        <x:is>
          <x:t xml:space="preserve"/>
        </x:is>
      </x:c>
      <x:c r="F28" s="15" t="inlineStr">
        <x:is>
          <x:t xml:space="preserve"/>
        </x:is>
      </x:c>
      <x:c r="G28" s="4" t="inlineStr">
        <x:is>
          <x:t xml:space="preserve"/>
        </x:is>
      </x:c>
      <x:c r="H28" s="4" t="n"/>
      <x:c r="I28" s="4" t="n"/>
    </x:row>
    <x:row r="29" ht="24" customHeight="1">
      <x:c r="A29" s="5" t="inlineStr">
        <x:is>
          <x:t xml:space="preserve">Price</x:t>
        </x:is>
      </x:c>
      <x:c r="B29" s="16" t="inlineStr">
        <x:is>
          <x:t xml:space="preserve"/>
        </x:is>
      </x:c>
      <x:c r="C29" s="12" t="inlineStr">
        <x:is>
          <x:t xml:space="preserve"/>
        </x:is>
      </x:c>
      <x:c r="D29" s="12" t="n"/>
      <x:c r="E29" s="12" t="inlineStr">
        <x:is>
          <x:t xml:space="preserve"/>
        </x:is>
      </x:c>
      <x:c r="F29" s="15" t="inlineStr">
        <x:is>
          <x:t xml:space="preserve"/>
        </x:is>
      </x:c>
      <x:c r="G29" s="4" t="inlineStr">
        <x:is>
          <x:t xml:space="preserve"/>
        </x:is>
      </x:c>
      <x:c r="H29" s="4" t="n"/>
      <x:c r="I29" s="4" t="n"/>
    </x:row>
    <x:row r="30" ht="24" customHeight="1">
      <x:c r="A30" s="5" t="inlineStr">
        <x:is>
          <x:t xml:space="preserve">Contract Docs / Forms</x:t>
        </x:is>
      </x:c>
      <x:c r="B30" s="16" t="inlineStr">
        <x:is>
          <x:t xml:space="preserve"/>
        </x:is>
      </x:c>
      <x:c r="C30" s="12" t="inlineStr">
        <x:is>
          <x:t xml:space="preserve"/>
        </x:is>
      </x:c>
      <x:c r="D30" s="12" t="n"/>
      <x:c r="E30" s="12" t="inlineStr">
        <x:is>
          <x:t xml:space="preserve"/>
        </x:is>
      </x:c>
      <x:c r="F30" s="15" t="inlineStr">
        <x:is>
          <x:t xml:space="preserve"/>
        </x:is>
      </x:c>
      <x:c r="G30" s="4" t="inlineStr">
        <x:is>
          <x:t xml:space="preserve"/>
        </x:is>
      </x:c>
      <x:c r="H30" s="4" t="n"/>
      <x:c r="I30" s="4" t="n"/>
    </x:row>
    <x:row r="31" ht="24" customHeight="1">
      <x:c r="A31" s="5" t="inlineStr">
        <x:is>
          <x:t xml:space="preserve">Oral Presentation (if any)</x:t>
        </x:is>
      </x:c>
      <x:c r="B31" s="16" t="inlineStr">
        <x:is>
          <x:t xml:space="preserve"/>
        </x:is>
      </x:c>
      <x:c r="C31" s="12" t="inlineStr">
        <x:is>
          <x:t xml:space="preserve"/>
        </x:is>
      </x:c>
      <x:c r="D31" s="12" t="n"/>
      <x:c r="E31" s="12" t="inlineStr">
        <x:is>
          <x:t xml:space="preserve"/>
        </x:is>
      </x:c>
      <x:c r="F31" s="15" t="inlineStr">
        <x:is>
          <x:t xml:space="preserve"/>
        </x:is>
      </x:c>
      <x:c r="G31" s="4" t="inlineStr">
        <x:is>
          <x:t xml:space="preserve"/>
        </x:is>
      </x:c>
      <x:c r="H31" s="4" t="n"/>
      <x:c r="I31" s="4" t="n"/>
    </x:row>
    <x:row r="32" ht="24" customHeight="1"/>
    <x:row r="33" ht="24" customHeight="1"/>
    <x:row r="34" ht="24" customHeight="1">
      <x:c r="A34" s="17" t="inlineStr">
        <x:is>
          <x:t xml:space="preserve">Planning note: baseline the solicitation, amendment history, proposal outline, and review calendar before writers draft. Update this sheet whenever the customer changes dates, submission mechanics, or required proposal parts.</x:t>
        </x:is>
      </x:c>
      <x:c r="B34" s="17" t="n"/>
      <x:c r="C34" s="17" t="n"/>
      <x:c r="D34" s="17" t="n"/>
      <x:c r="E34" s="17" t="n"/>
      <x:c r="F34" s="17" t="n"/>
      <x:c r="G34" s="17" t="n"/>
      <x:c r="H34" s="17" t="n"/>
      <x:c r="I34" s="17" t="n"/>
    </x:row>
    <x:row r="35" ht="24" customHeight="1">
      <x:c r="A35" s="17" t="n"/>
      <x:c r="B35" s="17" t="n"/>
      <x:c r="C35" s="17" t="n"/>
      <x:c r="D35" s="17" t="n"/>
      <x:c r="E35" s="17" t="n"/>
      <x:c r="F35" s="17" t="n"/>
      <x:c r="G35" s="17" t="n"/>
      <x:c r="H35" s="17" t="n"/>
      <x:c r="I35" s="17" t="n"/>
    </x:row>
    <x:row r="36" ht="24" customHeight="1">
      <x:c r="A36" s="17" t="n"/>
      <x:c r="B36" s="17" t="n"/>
      <x:c r="C36" s="17" t="n"/>
      <x:c r="D36" s="17" t="n"/>
      <x:c r="E36" s="17" t="n"/>
      <x:c r="F36" s="17" t="n"/>
      <x:c r="G36" s="17" t="n"/>
      <x:c r="H36" s="17" t="n"/>
      <x:c r="I36" s="17" t="n"/>
    </x:row>
  </x:sheetData>
  <x:mergeCells>
    <x:mergeCell ref="B16:C16"/>
    <x:mergeCell ref="C24:D24"/>
    <x:mergeCell ref="B7:C7"/>
    <x:mergeCell ref="G28:I28"/>
    <x:mergeCell ref="C30:D30"/>
    <x:mergeCell ref="B18:C18"/>
    <x:mergeCell ref="C26:D26"/>
    <x:mergeCell ref="G30:I30"/>
    <x:mergeCell ref="B12:C12"/>
    <x:mergeCell ref="G24:I24"/>
    <x:mergeCell ref="A2:I2"/>
    <x:mergeCell ref="E4:I4"/>
    <x:mergeCell ref="C29:D29"/>
    <x:mergeCell ref="B11:C11"/>
    <x:mergeCell ref="C25:D25"/>
    <x:mergeCell ref="B14:C14"/>
    <x:mergeCell ref="G26:I26"/>
    <x:mergeCell ref="B17:C17"/>
    <x:mergeCell ref="A22:I22"/>
    <x:mergeCell ref="A4:C4"/>
    <x:mergeCell ref="B8:C8"/>
    <x:mergeCell ref="G29:I29"/>
    <x:mergeCell ref="C31:D31"/>
    <x:mergeCell ref="G25:I25"/>
    <x:mergeCell ref="B13:C13"/>
    <x:mergeCell ref="B19:C19"/>
    <x:mergeCell ref="C27:D27"/>
    <x:mergeCell ref="B10:C10"/>
    <x:mergeCell ref="G31:I31"/>
    <x:mergeCell ref="B9:C9"/>
    <x:mergeCell ref="C23:D23"/>
    <x:mergeCell ref="A34:I36"/>
    <x:mergeCell ref="B6:C6"/>
    <x:mergeCell ref="B15:C15"/>
    <x:mergeCell ref="G27:I27"/>
    <x:mergeCell ref="B5:C5"/>
    <x:mergeCell ref="G23:I23"/>
    <x:mergeCell ref="A1:I1"/>
    <x:mergeCell ref="C28:D28"/>
  </x:mergeCells>
  <x:dataValidations count="2">
    <x:dataValidation type="list" allowBlank="1" showDropDown="0" showInputMessage="0" showErrorMessage="0" sqref="H6:H15">
      <x:formula1>=Lists!$G$2:$G$5</x:formula1>
    </x:dataValidation>
    <x:dataValidation type="list" allowBlank="1" showDropDown="0" showInputMessage="0" showErrorMessage="0" sqref="F24:F31">
      <x:formula1>=Lists!$H$2:$H$6</x:formula1>
    </x:dataValidation>
  </x:dataValidations>
  <x:pageMargins left="0.7" right="0.7" top="0.75" bottom="0.75" header="0.3" footer="0.3"/>
  <x:legacyDrawing xmlns:r="http://schemas.openxmlformats.org/officeDocument/2006/relationships" r:id="Rb9f07bc875f64fb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3" customWidth="1"/>
    <x:col min="2" max="2" width="13" customWidth="1"/>
    <x:col min="3" max="3" width="2" customWidth="1"/>
    <x:col min="4" max="4" width="13" customWidth="1"/>
    <x:col min="5" max="5" width="13" customWidth="1"/>
    <x:col min="6" max="6" width="2" customWidth="1"/>
    <x:col min="7" max="7" width="13" customWidth="1"/>
    <x:col min="8" max="8" width="13" customWidth="1"/>
    <x:col min="9" max="9" width="2" customWidth="1"/>
    <x:col min="10" max="10" width="13" customWidth="1"/>
    <x:col min="11" max="11" width="13" customWidth="1"/>
  </x:cols>
  <x:sheetData>
    <x:row r="1" ht="28" customHeight="1">
      <x:c r="A1" s="1" t="inlineStr">
        <x:is>
          <x:t xml:space="preserve">Proposal Control Dashboard</x:t>
        </x:is>
      </x:c>
      <x:c r="B1" s="1" t="n"/>
      <x:c r="C1" s="1" t="n"/>
      <x:c r="D1" s="1" t="n"/>
      <x:c r="E1" s="1" t="n"/>
      <x:c r="F1" s="1" t="n"/>
      <x:c r="G1" s="1" t="n"/>
      <x:c r="H1" s="1" t="n"/>
      <x:c r="I1" s="1" t="n"/>
      <x:c r="J1" s="1" t="n"/>
      <x:c r="K1" s="1" t="n"/>
    </x:row>
    <x:row r="2" ht="24" customHeight="1">
      <x:c r="A2" s="2" t="inlineStr">
        <x:is>
          <x:t xml:space="preserve">Live roll-up from the matrix, checklist, amendments, and issue log. Orange cards indicate open control items that need management attention.</x:t>
        </x:is>
      </x:c>
      <x:c r="B2" s="2" t="n"/>
      <x:c r="C2" s="2" t="n"/>
      <x:c r="D2" s="2" t="n"/>
      <x:c r="E2" s="2" t="n"/>
      <x:c r="F2" s="2" t="n"/>
      <x:c r="G2" s="2" t="n"/>
      <x:c r="H2" s="2" t="n"/>
      <x:c r="I2" s="2" t="n"/>
      <x:c r="J2" s="2" t="n"/>
      <x:c r="K2" s="2" t="n"/>
    </x:row>
    <x:row r="3" ht="24" customHeight="1"/>
    <x:row r="4" ht="24" customHeight="1">
      <x:c r="A4" s="18" t="inlineStr">
        <x:is>
          <x:t xml:space="preserve">Total requirements</x:t>
        </x:is>
      </x:c>
      <x:c r="B4" s="18" t="n"/>
      <x:c r="D4" s="18" t="inlineStr">
        <x:is>
          <x:t xml:space="preserve">Mandatory rows</x:t>
        </x:is>
      </x:c>
      <x:c r="E4" s="18" t="n"/>
      <x:c r="G4" s="18" t="inlineStr">
        <x:is>
          <x:t xml:space="preserve">Evaluated rows</x:t>
        </x:is>
      </x:c>
      <x:c r="H4" s="18" t="n"/>
      <x:c r="J4" s="18" t="inlineStr">
        <x:is>
          <x:t xml:space="preserve">Missing owner</x:t>
        </x:is>
      </x:c>
      <x:c r="K4" s="18" t="n"/>
    </x:row>
    <x:row r="5" ht="24" customHeight="1">
      <x:c r="A5" s="19">
        <x:f>COUNTA('Requirement Matrix'!$A$8:$A$500)</x:f>
        <x:v>0</x:v>
      </x:c>
      <x:c r="B5" s="19" t="n"/>
      <x:c r="D5" s="19">
        <x:f>COUNTIFS('Requirement Matrix'!$A$8:$A$500,"&lt;&gt;",'Requirement Matrix'!$D$8:$D$500,"Mandatory")</x:f>
        <x:v>0</x:v>
      </x:c>
      <x:c r="E5" s="19" t="n"/>
      <x:c r="G5" s="19">
        <x:f>COUNTIFS('Requirement Matrix'!$A$8:$A$500,"&lt;&gt;",'Requirement Matrix'!$D$8:$D$500,"Evaluated")</x:f>
        <x:v>0</x:v>
      </x:c>
      <x:c r="H5" s="19" t="n"/>
      <x:c r="J5" s="19">
        <x:f>COUNTIFS('Requirement Matrix'!$A$8:$A$500,"&lt;&gt;",'Requirement Matrix'!$J$8:$J$500,"")</x:f>
        <x:v>0</x:v>
      </x:c>
      <x:c r="K5" s="19" t="n"/>
    </x:row>
    <x:row r="6" ht="24" customHeight="1">
      <x:c r="A6" s="19" t="n"/>
      <x:c r="B6" s="19" t="n"/>
      <x:c r="D6" s="19" t="n"/>
      <x:c r="E6" s="19" t="n"/>
      <x:c r="G6" s="19" t="n"/>
      <x:c r="H6" s="19" t="n"/>
      <x:c r="J6" s="19" t="n"/>
      <x:c r="K6" s="19" t="n"/>
    </x:row>
    <x:row r="7" ht="24" customHeight="1"/>
    <x:row r="8" ht="24" customHeight="1">
      <x:c r="A8" s="18" t="inlineStr">
        <x:is>
          <x:t xml:space="preserve">Rows needing action</x:t>
        </x:is>
      </x:c>
      <x:c r="B8" s="18" t="n"/>
      <x:c r="D8" s="18" t="inlineStr">
        <x:is>
          <x:t xml:space="preserve">Red flags</x:t>
        </x:is>
      </x:c>
      <x:c r="E8" s="18" t="n"/>
      <x:c r="G8" s="18" t="inlineStr">
        <x:is>
          <x:t xml:space="preserve">Missing final location</x:t>
        </x:is>
      </x:c>
      <x:c r="H8" s="18" t="n"/>
      <x:c r="J8" s="18" t="inlineStr">
        <x:is>
          <x:t xml:space="preserve">Finalized rows</x:t>
        </x:is>
      </x:c>
      <x:c r="K8" s="18" t="n"/>
    </x:row>
    <x:row r="9" ht="24" customHeight="1">
      <x:c r="A9" s="19">
        <x:f>COUNTIFS('Requirement Matrix'!$A$8:$A$500,"&lt;&gt;",'Requirement Matrix'!$U$8:$U$500,"&lt;&gt;Closed")</x:f>
        <x:v>0</x:v>
      </x:c>
      <x:c r="B9" s="19" t="n"/>
      <x:c r="D9" s="19">
        <x:f>COUNTIFS('Requirement Matrix'!$A$8:$A$500,"&lt;&gt;",'Requirement Matrix'!$U$8:$U$500,"Red flag")</x:f>
        <x:v>0</x:v>
      </x:c>
      <x:c r="E9" s="19" t="n"/>
      <x:c r="G9" s="19">
        <x:f>COUNTIFS('Requirement Matrix'!$A$8:$A$500,"&lt;&gt;",'Requirement Matrix'!$P$8:$P$500,"")</x:f>
        <x:v>0</x:v>
      </x:c>
      <x:c r="H9" s="19" t="n"/>
      <x:c r="J9" s="19">
        <x:f>COUNTIFS('Requirement Matrix'!$A$8:$A$500,"&lt;&gt;",'Requirement Matrix'!$M$8:$M$500,"Final")</x:f>
        <x:v>0</x:v>
      </x:c>
      <x:c r="K9" s="19" t="n"/>
    </x:row>
    <x:row r="10" ht="24" customHeight="1">
      <x:c r="A10" s="19" t="n"/>
      <x:c r="B10" s="19" t="n"/>
      <x:c r="D10" s="19" t="n"/>
      <x:c r="E10" s="19" t="n"/>
      <x:c r="G10" s="19" t="n"/>
      <x:c r="H10" s="19" t="n"/>
      <x:c r="J10" s="19" t="n"/>
      <x:c r="K10" s="19" t="n"/>
    </x:row>
    <x:row r="11" ht="24" customHeight="1"/>
    <x:row r="12" ht="24" customHeight="1">
      <x:c r="A12" s="18" t="inlineStr">
        <x:is>
          <x:t xml:space="preserve">Open checklist items</x:t>
        </x:is>
      </x:c>
      <x:c r="B12" s="18" t="n"/>
      <x:c r="D12" s="18" t="inlineStr">
        <x:is>
          <x:t xml:space="preserve">Open amendments</x:t>
        </x:is>
      </x:c>
      <x:c r="E12" s="18" t="n"/>
      <x:c r="G12" s="18" t="inlineStr">
        <x:is>
          <x:t xml:space="preserve">Open questions / risks</x:t>
        </x:is>
      </x:c>
      <x:c r="H12" s="18" t="n"/>
      <x:c r="J12" s="18" t="inlineStr">
        <x:is>
          <x:t xml:space="preserve">Gap or question rows</x:t>
        </x:is>
      </x:c>
      <x:c r="K12" s="18" t="n"/>
    </x:row>
    <x:row r="13" ht="24" customHeight="1">
      <x:c r="A13" s="19">
        <x:f>COUNTIFS('Submission Checklist'!$A$7:$A$200,"&lt;&gt;",'Submission Checklist'!$K$7:$K$200,"Open")</x:f>
        <x:v>16</x:v>
      </x:c>
      <x:c r="B13" s="19" t="n"/>
      <x:c r="D13" s="19">
        <x:f>COUNTIFS('Amendment Log'!$A$7:$A$200,"&lt;&gt;",'Amendment Log'!$I$7:$I$200,"&lt;&gt;Closed")</x:f>
        <x:v>0</x:v>
      </x:c>
      <x:c r="E13" s="19" t="n"/>
      <x:c r="G13" s="19">
        <x:f>COUNTIFS('Questions-Risks'!$A$7:$A$200,"&lt;&gt;",'Questions-Risks'!$I$7:$I$200,"&lt;&gt;Resolved",'Questions-Risks'!$I$7:$I$200,"&lt;&gt;Deferred")</x:f>
        <x:v>2</x:v>
      </x:c>
      <x:c r="H13" s="19" t="n"/>
      <x:c r="J13" s="19">
        <x:f>COUNTIFS('Requirement Matrix'!$A$8:$A$500,"&lt;&gt;",'Requirement Matrix'!$L$8:$L$500,"Gap")+COUNTIFS('Requirement Matrix'!$A$8:$A$500,"&lt;&gt;",'Requirement Matrix'!$L$8:$L$500,"Question")</x:f>
        <x:v>0</x:v>
      </x:c>
      <x:c r="K13" s="19" t="n"/>
    </x:row>
    <x:row r="14" ht="24" customHeight="1">
      <x:c r="A14" s="19" t="n"/>
      <x:c r="B14" s="19" t="n"/>
      <x:c r="D14" s="19" t="n"/>
      <x:c r="E14" s="19" t="n"/>
      <x:c r="G14" s="19" t="n"/>
      <x:c r="H14" s="19" t="n"/>
      <x:c r="J14" s="19" t="n"/>
      <x:c r="K14" s="19" t="n"/>
    </x:row>
    <x:row r="15" ht="24" customHeight="1"/>
    <x:row r="16" ht="24" customHeight="1"/>
    <x:row r="17" ht="24" customHeight="1"/>
    <x:row r="18" ht="30" customHeight="1">
      <x:c r="A18" s="3" t="inlineStr">
        <x:is>
          <x:t xml:space="preserve">Requirements by Source</x:t>
        </x:is>
      </x:c>
      <x:c r="B18" s="3" t="n"/>
      <x:c r="C18" s="34" t="n"/>
      <x:c r="D18" s="3" t="inlineStr">
        <x:is>
          <x:t xml:space="preserve">By Compliance Posture</x:t>
        </x:is>
      </x:c>
      <x:c r="E18" s="3" t="n"/>
      <x:c r="F18" s="34" t="n"/>
      <x:c r="G18" s="3" t="inlineStr">
        <x:is>
          <x:t xml:space="preserve">By Draft Status</x:t>
        </x:is>
      </x:c>
      <x:c r="H18" s="3" t="n"/>
      <x:c r="I18" s="34" t="n"/>
      <x:c r="J18" s="3" t="inlineStr">
        <x:is>
          <x:t xml:space="preserve">Need Attention</x:t>
        </x:is>
      </x:c>
      <x:c r="K18" s="3" t="n"/>
    </x:row>
    <x:row r="19" ht="28" customHeight="1">
      <x:c r="A19" s="13" t="inlineStr">
        <x:is>
          <x:t xml:space="preserve">Source Area</x:t>
        </x:is>
      </x:c>
      <x:c r="B19" s="13" t="inlineStr">
        <x:is>
          <x:t xml:space="preserve">Count</x:t>
        </x:is>
      </x:c>
      <x:c r="C19" s="34" t="n"/>
      <x:c r="D19" s="13" t="inlineStr">
        <x:is>
          <x:t xml:space="preserve">Posture</x:t>
        </x:is>
      </x:c>
      <x:c r="E19" s="13" t="inlineStr">
        <x:is>
          <x:t xml:space="preserve">Count</x:t>
        </x:is>
      </x:c>
      <x:c r="F19" s="34" t="n"/>
      <x:c r="G19" s="13" t="inlineStr">
        <x:is>
          <x:t xml:space="preserve">Draft Status</x:t>
        </x:is>
      </x:c>
      <x:c r="H19" s="13" t="inlineStr">
        <x:is>
          <x:t xml:space="preserve">Count</x:t>
        </x:is>
      </x:c>
      <x:c r="I19" s="34" t="n"/>
      <x:c r="J19" s="13" t="inlineStr">
        <x:is>
          <x:t xml:space="preserve">Control</x:t>
        </x:is>
      </x:c>
      <x:c r="K19" s="13" t="inlineStr">
        <x:is>
          <x:t xml:space="preserve">Open</x:t>
        </x:is>
      </x:c>
    </x:row>
    <x:row r="20" ht="28" customHeight="1">
      <x:c r="A20" s="5" t="inlineStr">
        <x:is>
          <x:t xml:space="preserve">C / PWS / SOW</x:t>
        </x:is>
      </x:c>
      <x:c r="B20" s="20">
        <x:f>COUNTIFS('Requirement Matrix'!$A$8:$A$500,"&lt;&gt;",'Requirement Matrix'!$B$8:$B$500,A20)</x:f>
        <x:v>0</x:v>
      </x:c>
      <x:c r="C20" s="34" t="n"/>
      <x:c r="D20" s="5" t="inlineStr">
        <x:is>
          <x:t xml:space="preserve">Comply</x:t>
        </x:is>
      </x:c>
      <x:c r="E20" s="20">
        <x:f>COUNTIFS('Requirement Matrix'!$A$8:$A$500,"&lt;&gt;",'Requirement Matrix'!$L$8:$L$500,D20)</x:f>
        <x:v>0</x:v>
      </x:c>
      <x:c r="F20" s="34" t="n"/>
      <x:c r="G20" s="5" t="inlineStr">
        <x:is>
          <x:t xml:space="preserve">Not Started</x:t>
        </x:is>
      </x:c>
      <x:c r="H20" s="20">
        <x:f>COUNTIFS('Requirement Matrix'!$A$8:$A$500,"&lt;&gt;",'Requirement Matrix'!$M$8:$M$500,G20)</x:f>
        <x:v>0</x:v>
      </x:c>
      <x:c r="I20" s="34" t="n"/>
      <x:c r="J20" s="5" t="inlineStr">
        <x:is>
          <x:t xml:space="preserve">Missing owner</x:t>
        </x:is>
      </x:c>
      <x:c r="K20" s="20">
        <x:f>COUNTIFS('Requirement Matrix'!$A$8:$A$500,"&lt;&gt;",'Requirement Matrix'!$J$8:$J$500,"")</x:f>
        <x:v>0</x:v>
      </x:c>
    </x:row>
    <x:row r="21" ht="28" customHeight="1">
      <x:c r="A21" s="5" t="inlineStr">
        <x:is>
          <x:t xml:space="preserve">L - Instructions</x:t>
        </x:is>
      </x:c>
      <x:c r="B21" s="20">
        <x:f>COUNTIFS('Requirement Matrix'!$A$8:$A$500,"&lt;&gt;",'Requirement Matrix'!$B$8:$B$500,A21)</x:f>
        <x:v>0</x:v>
      </x:c>
      <x:c r="C21" s="34" t="n"/>
      <x:c r="D21" s="5" t="inlineStr">
        <x:is>
          <x:t xml:space="preserve">Partial</x:t>
        </x:is>
      </x:c>
      <x:c r="E21" s="20">
        <x:f>COUNTIFS('Requirement Matrix'!$A$8:$A$500,"&lt;&gt;",'Requirement Matrix'!$L$8:$L$500,D21)</x:f>
        <x:v>0</x:v>
      </x:c>
      <x:c r="F21" s="34" t="n"/>
      <x:c r="G21" s="5" t="inlineStr">
        <x:is>
          <x:t xml:space="preserve">In Progress</x:t>
        </x:is>
      </x:c>
      <x:c r="H21" s="20">
        <x:f>COUNTIFS('Requirement Matrix'!$A$8:$A$500,"&lt;&gt;",'Requirement Matrix'!$M$8:$M$500,G21)</x:f>
        <x:v>0</x:v>
      </x:c>
      <x:c r="I21" s="34" t="n"/>
      <x:c r="J21" s="5" t="inlineStr">
        <x:is>
          <x:t xml:space="preserve">Missing final location</x:t>
        </x:is>
      </x:c>
      <x:c r="K21" s="20">
        <x:f>COUNTIFS('Requirement Matrix'!$A$8:$A$500,"&lt;&gt;",'Requirement Matrix'!$P$8:$P$500,"")</x:f>
        <x:v>0</x:v>
      </x:c>
    </x:row>
    <x:row r="22" ht="28" customHeight="1">
      <x:c r="A22" s="5" t="inlineStr">
        <x:is>
          <x:t xml:space="preserve">M - Evaluation</x:t>
        </x:is>
      </x:c>
      <x:c r="B22" s="20">
        <x:f>COUNTIFS('Requirement Matrix'!$A$8:$A$500,"&lt;&gt;",'Requirement Matrix'!$B$8:$B$500,A22)</x:f>
        <x:v>0</x:v>
      </x:c>
      <x:c r="C22" s="34" t="n"/>
      <x:c r="D22" s="5" t="inlineStr">
        <x:is>
          <x:t xml:space="preserve">Gap</x:t>
        </x:is>
      </x:c>
      <x:c r="E22" s="20">
        <x:f>COUNTIFS('Requirement Matrix'!$A$8:$A$500,"&lt;&gt;",'Requirement Matrix'!$L$8:$L$500,D22)</x:f>
        <x:v>0</x:v>
      </x:c>
      <x:c r="F22" s="34" t="n"/>
      <x:c r="G22" s="5" t="inlineStr">
        <x:is>
          <x:t xml:space="preserve">In Review</x:t>
        </x:is>
      </x:c>
      <x:c r="H22" s="20">
        <x:f>COUNTIFS('Requirement Matrix'!$A$8:$A$500,"&lt;&gt;",'Requirement Matrix'!$M$8:$M$500,G22)</x:f>
        <x:v>0</x:v>
      </x:c>
      <x:c r="I22" s="34" t="n"/>
      <x:c r="J22" s="5" t="inlineStr">
        <x:is>
          <x:t xml:space="preserve">Gap / Question rows</x:t>
        </x:is>
      </x:c>
      <x:c r="K22" s="20">
        <x:f>COUNTIFS('Requirement Matrix'!$A$8:$A$500,"&lt;&gt;",'Requirement Matrix'!$L$8:$L$500,"Gap")+COUNTIFS('Requirement Matrix'!$A$8:$A$500,"&lt;&gt;",'Requirement Matrix'!$L$8:$L$500,"Question")</x:f>
        <x:v>0</x:v>
      </x:c>
    </x:row>
    <x:row r="23" ht="28" customHeight="1">
      <x:c r="A23" s="5" t="inlineStr">
        <x:is>
          <x:t xml:space="preserve">B - CLIN / Pricing</x:t>
        </x:is>
      </x:c>
      <x:c r="B23" s="20">
        <x:f>COUNTIFS('Requirement Matrix'!$A$8:$A$500,"&lt;&gt;",'Requirement Matrix'!$B$8:$B$500,A23)</x:f>
        <x:v>0</x:v>
      </x:c>
      <x:c r="C23" s="34" t="n"/>
      <x:c r="D23" s="5" t="inlineStr">
        <x:is>
          <x:t xml:space="preserve">Question</x:t>
        </x:is>
      </x:c>
      <x:c r="E23" s="20">
        <x:f>COUNTIFS('Requirement Matrix'!$A$8:$A$500,"&lt;&gt;",'Requirement Matrix'!$L$8:$L$500,D23)</x:f>
        <x:v>0</x:v>
      </x:c>
      <x:c r="F23" s="34" t="n"/>
      <x:c r="G23" s="5" t="inlineStr">
        <x:is>
          <x:t xml:space="preserve">Final</x:t>
        </x:is>
      </x:c>
      <x:c r="H23" s="20">
        <x:f>COUNTIFS('Requirement Matrix'!$A$8:$A$500,"&lt;&gt;",'Requirement Matrix'!$M$8:$M$500,G23)</x:f>
        <x:v>0</x:v>
      </x:c>
      <x:c r="I23" s="34" t="n"/>
      <x:c r="J23" s="5" t="inlineStr">
        <x:is>
          <x:t xml:space="preserve">Open checklist items</x:t>
        </x:is>
      </x:c>
      <x:c r="K23" s="20">
        <x:f>COUNTIFS('Submission Checklist'!$A$7:$A$200,"&lt;&gt;",'Submission Checklist'!$K$7:$K$200,"Open")</x:f>
        <x:v>16</x:v>
      </x:c>
    </x:row>
    <x:row r="24" ht="28" customHeight="1">
      <x:c r="A24" s="5" t="inlineStr">
        <x:is>
          <x:t xml:space="preserve">J - Attachment / Exhibit</x:t>
        </x:is>
      </x:c>
      <x:c r="B24" s="20">
        <x:f>COUNTIFS('Requirement Matrix'!$A$8:$A$500,"&lt;&gt;",'Requirement Matrix'!$B$8:$B$500,A24)</x:f>
        <x:v>0</x:v>
      </x:c>
      <x:c r="C24" s="34" t="n"/>
      <x:c r="D24" s="5" t="inlineStr">
        <x:is>
          <x:t xml:space="preserve">N/A</x:t>
        </x:is>
      </x:c>
      <x:c r="E24" s="20">
        <x:f>COUNTIFS('Requirement Matrix'!$A$8:$A$500,"&lt;&gt;",'Requirement Matrix'!$L$8:$L$500,D24)</x:f>
        <x:v>0</x:v>
      </x:c>
      <x:c r="F24" s="34" t="n"/>
      <x:c r="G24" s="34" t="n"/>
      <x:c r="H24" s="34" t="n"/>
      <x:c r="I24" s="34" t="n"/>
      <x:c r="J24" s="34" t="n"/>
      <x:c r="K24" s="34" t="n"/>
    </x:row>
    <x:row r="25" ht="28" customHeight="1">
      <x:c r="A25" s="5" t="inlineStr">
        <x:is>
          <x:t xml:space="preserve">Amendment</x:t>
        </x:is>
      </x:c>
      <x:c r="B25" s="20">
        <x:f>COUNTIFS('Requirement Matrix'!$A$8:$A$500,"&lt;&gt;",'Requirement Matrix'!$B$8:$B$500,A25)</x:f>
        <x:v>0</x:v>
      </x:c>
      <x:c r="C25" s="34" t="n"/>
      <x:c r="D25" s="34" t="n"/>
      <x:c r="E25" s="34" t="n"/>
      <x:c r="F25" s="34" t="n"/>
      <x:c r="G25" s="34" t="n"/>
      <x:c r="H25" s="34" t="n"/>
      <x:c r="I25" s="34" t="n"/>
      <x:c r="J25" s="34" t="n"/>
      <x:c r="K25" s="34" t="n"/>
    </x:row>
    <x:row r="26" ht="28" customHeight="1">
      <x:c r="A26" s="5" t="inlineStr">
        <x:is>
          <x:t xml:space="preserve">Q&amp;A</x:t>
        </x:is>
      </x:c>
      <x:c r="B26" s="20">
        <x:f>COUNTIFS('Requirement Matrix'!$A$8:$A$500,"&lt;&gt;",'Requirement Matrix'!$B$8:$B$500,A26)</x:f>
        <x:v>0</x:v>
      </x:c>
      <x:c r="C26" s="34" t="n"/>
      <x:c r="D26" s="34" t="n"/>
      <x:c r="E26" s="34" t="n"/>
      <x:c r="F26" s="34" t="n"/>
      <x:c r="G26" s="34" t="n"/>
      <x:c r="H26" s="34" t="n"/>
      <x:c r="I26" s="34" t="n"/>
      <x:c r="J26" s="34" t="n"/>
      <x:c r="K26" s="34" t="n"/>
    </x:row>
    <x:row r="27" ht="28" customHeight="1">
      <x:c r="A27" s="5" t="inlineStr">
        <x:is>
          <x:t xml:space="preserve">Other</x:t>
        </x:is>
      </x:c>
      <x:c r="B27" s="20">
        <x:f>COUNTIFS('Requirement Matrix'!$A$8:$A$500,"&lt;&gt;",'Requirement Matrix'!$B$8:$B$500,A27)</x:f>
        <x:v>0</x:v>
      </x:c>
      <x:c r="C27" s="34" t="n"/>
      <x:c r="D27" s="34" t="n"/>
      <x:c r="E27" s="34" t="n"/>
      <x:c r="F27" s="34" t="n"/>
      <x:c r="G27" s="34" t="n"/>
      <x:c r="H27" s="34" t="n"/>
      <x:c r="I27" s="34" t="n"/>
      <x:c r="J27" s="34" t="n"/>
      <x:c r="K27" s="34" t="n"/>
    </x:row>
    <x:row r="28" ht="28" customHeight="1">
      <x:c r="A28" s="34" t="n"/>
      <x:c r="B28" s="34" t="n"/>
      <x:c r="C28" s="34" t="n"/>
      <x:c r="D28" s="34" t="n"/>
      <x:c r="E28" s="34" t="n"/>
      <x:c r="F28" s="34" t="n"/>
      <x:c r="G28" s="34" t="n"/>
      <x:c r="H28" s="34" t="n"/>
      <x:c r="I28" s="34" t="n"/>
      <x:c r="J28" s="34" t="n"/>
      <x:c r="K28" s="34" t="n"/>
    </x:row>
    <x:row r="29" ht="24" customHeight="1"/>
    <x:row r="30" ht="24" customHeight="1"/>
    <x:row r="31" ht="24" customHeight="1">
      <x:c r="A31" s="17" t="inlineStr">
        <x:is>
          <x:t xml:space="preserve">Reading note: a healthy workbook trends toward fewer orange/red cards, fewer rows with missing final locations, and a shrinking set of open checklist items as production approaches.</x:t>
        </x:is>
      </x:c>
      <x:c r="B31" s="17" t="n"/>
      <x:c r="C31" s="17" t="n"/>
      <x:c r="D31" s="17" t="n"/>
      <x:c r="E31" s="17" t="n"/>
      <x:c r="F31" s="17" t="n"/>
      <x:c r="G31" s="17" t="n"/>
      <x:c r="H31" s="17" t="n"/>
      <x:c r="I31" s="17" t="n"/>
      <x:c r="J31" s="17" t="n"/>
      <x:c r="K31" s="17" t="n"/>
    </x:row>
    <x:row r="32" ht="24" customHeight="1">
      <x:c r="A32" s="17" t="n"/>
      <x:c r="B32" s="17" t="n"/>
      <x:c r="C32" s="17" t="n"/>
      <x:c r="D32" s="17" t="n"/>
      <x:c r="E32" s="17" t="n"/>
      <x:c r="F32" s="17" t="n"/>
      <x:c r="G32" s="17" t="n"/>
      <x:c r="H32" s="17" t="n"/>
      <x:c r="I32" s="17" t="n"/>
      <x:c r="J32" s="17" t="n"/>
      <x:c r="K32" s="17" t="n"/>
    </x:row>
    <x:row r="33" ht="24" customHeight="1">
      <x:c r="A33" s="17" t="n"/>
      <x:c r="B33" s="17" t="n"/>
      <x:c r="C33" s="17" t="n"/>
      <x:c r="D33" s="17" t="n"/>
      <x:c r="E33" s="17" t="n"/>
      <x:c r="F33" s="17" t="n"/>
      <x:c r="G33" s="17" t="n"/>
      <x:c r="H33" s="17" t="n"/>
      <x:c r="I33" s="17" t="n"/>
      <x:c r="J33" s="17" t="n"/>
      <x:c r="K33" s="17" t="n"/>
    </x:row>
    <x:row r="34" ht="24" customHeight="1">
      <x:c r="A34" s="17" t="n"/>
      <x:c r="B34" s="17" t="n"/>
      <x:c r="C34" s="17" t="n"/>
      <x:c r="D34" s="17" t="n"/>
      <x:c r="E34" s="17" t="n"/>
      <x:c r="F34" s="17" t="n"/>
      <x:c r="G34" s="17" t="n"/>
      <x:c r="H34" s="17" t="n"/>
      <x:c r="I34" s="17" t="n"/>
      <x:c r="J34" s="17" t="n"/>
      <x:c r="K34" s="17" t="n"/>
    </x:row>
  </x:sheetData>
  <x:mergeCells>
    <x:mergeCell ref="G12:H12"/>
    <x:mergeCell ref="A5:B6"/>
    <x:mergeCell ref="G5:H6"/>
    <x:mergeCell ref="G8:H8"/>
    <x:mergeCell ref="A1:K1"/>
    <x:mergeCell ref="D9:E10"/>
    <x:mergeCell ref="A13:B14"/>
    <x:mergeCell ref="D5:E6"/>
    <x:mergeCell ref="A18:B18"/>
    <x:mergeCell ref="J5:K6"/>
    <x:mergeCell ref="G18:H18"/>
    <x:mergeCell ref="A9:B10"/>
    <x:mergeCell ref="G9:H10"/>
    <x:mergeCell ref="A12:B12"/>
    <x:mergeCell ref="J4:K4"/>
    <x:mergeCell ref="A31:K34"/>
    <x:mergeCell ref="A2:K2"/>
    <x:mergeCell ref="D4:E4"/>
    <x:mergeCell ref="D18:E18"/>
    <x:mergeCell ref="A8:B8"/>
    <x:mergeCell ref="J13:K14"/>
    <x:mergeCell ref="D12:E12"/>
    <x:mergeCell ref="A4:B4"/>
    <x:mergeCell ref="G4:H4"/>
    <x:mergeCell ref="D8:E8"/>
    <x:mergeCell ref="J9:K10"/>
    <x:mergeCell ref="G13:H14"/>
    <x:mergeCell ref="J12:K12"/>
    <x:mergeCell ref="J18:K18"/>
    <x:mergeCell ref="J8:K8"/>
    <x:mergeCell ref="D13:E14"/>
  </x:mergeCells>
  <x:conditionalFormatting sqref="J5:K6">
    <x:cfRule type="cellIs" dxfId="0" priority="1" operator="greaterThan">
      <x:formula>0</x:formula>
    </x:cfRule>
  </x:conditionalFormatting>
  <x:conditionalFormatting sqref="A9:B10">
    <x:cfRule type="cellIs" dxfId="0" priority="2" operator="greaterThan">
      <x:formula>0</x:formula>
    </x:cfRule>
  </x:conditionalFormatting>
  <x:conditionalFormatting sqref="D9:E10">
    <x:cfRule type="cellIs" dxfId="0" priority="3" operator="greaterThan">
      <x:formula>0</x:formula>
    </x:cfRule>
  </x:conditionalFormatting>
  <x:conditionalFormatting sqref="G9:H10">
    <x:cfRule type="cellIs" dxfId="0" priority="4" operator="greaterThan">
      <x:formula>0</x:formula>
    </x:cfRule>
  </x:conditionalFormatting>
  <x:conditionalFormatting sqref="A13:B14">
    <x:cfRule type="cellIs" dxfId="0" priority="5" operator="greaterThan">
      <x:formula>0</x:formula>
    </x:cfRule>
  </x:conditionalFormatting>
  <x:conditionalFormatting sqref="D13:E14">
    <x:cfRule type="cellIs" dxfId="0" priority="6" operator="greaterThan">
      <x:formula>0</x:formula>
    </x:cfRule>
  </x:conditionalFormatting>
  <x:conditionalFormatting sqref="G13:H14">
    <x:cfRule type="cellIs" dxfId="0" priority="7" operator="greaterThan">
      <x:formula>0</x:formula>
    </x:cfRule>
  </x:conditionalFormatting>
  <x:conditionalFormatting sqref="J13:K14">
    <x:cfRule type="cellIs" dxfId="0" priority="8" operator="greaterThan">
      <x:formula>0</x:formula>
    </x:cfRule>
  </x:conditionalFormatting>
  <x:conditionalFormatting sqref="J9:K10">
    <x:cfRule type="cellIs" dxfId="1" priority="9" operator="greaterThan">
      <x:formula>0</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2" customWidth="1"/>
    <x:col min="2" max="2" width="18" customWidth="1"/>
    <x:col min="3" max="3" width="18" customWidth="1"/>
    <x:col min="4" max="4" width="14" customWidth="1"/>
    <x:col min="5" max="5" width="22" customWidth="1"/>
    <x:col min="6" max="6" width="42" customWidth="1"/>
    <x:col min="7" max="7" width="34" customWidth="1"/>
    <x:col min="8" max="8" width="18" customWidth="1"/>
    <x:col min="9" max="9" width="18" customWidth="1"/>
    <x:col min="10" max="10" width="16" customWidth="1"/>
    <x:col min="11" max="11" width="16" customWidth="1"/>
    <x:col min="12" max="12" width="14" customWidth="1"/>
    <x:col min="13" max="13" width="14" customWidth="1"/>
    <x:col min="14" max="14" width="28" customWidth="1"/>
    <x:col min="15" max="15" width="24" customWidth="1"/>
    <x:col min="16" max="16" width="24" customWidth="1"/>
    <x:col min="17" max="17" width="16" customWidth="1"/>
    <x:col min="18" max="18" width="18" customWidth="1"/>
    <x:col min="19" max="19" width="26" customWidth="1"/>
    <x:col min="20" max="20" width="30" customWidth="1"/>
    <x:col min="21" max="21" width="15" customWidth="1"/>
  </x:cols>
  <x:sheetData>
    <x:row r="1" ht="28" customHeight="1">
      <x:c r="A1" s="1" t="inlineStr">
        <x:is>
          <x:t xml:space="preserve">Requirement Matrix</x:t>
        </x:is>
      </x:c>
      <x:c r="B1" s="1" t="n"/>
      <x:c r="C1" s="1" t="n"/>
      <x:c r="D1" s="1" t="n"/>
      <x:c r="E1" s="1" t="n"/>
      <x:c r="F1" s="1" t="n"/>
      <x:c r="G1" s="1" t="n"/>
      <x:c r="H1" s="1" t="n"/>
      <x:c r="I1" s="1" t="n"/>
      <x:c r="J1" s="1" t="n"/>
      <x:c r="K1" s="1" t="n"/>
      <x:c r="L1" s="1" t="n"/>
      <x:c r="M1" s="1" t="n"/>
      <x:c r="N1" s="1" t="n"/>
      <x:c r="O1" s="1" t="n"/>
      <x:c r="P1" s="1" t="n"/>
      <x:c r="Q1" s="1" t="n"/>
      <x:c r="R1" s="1" t="n"/>
      <x:c r="S1" s="1" t="n"/>
      <x:c r="T1" s="1" t="n"/>
      <x:c r="U1" s="1" t="n"/>
    </x:row>
    <x:row r="2" ht="26" customHeight="1">
      <x:c r="A2" s="2" t="inlineStr">
        <x:is>
          <x:t xml:space="preserve">Use one row per requirement. Split every distinct shall / must / will / response instruction into its own line so the proposal can be traced from the solicitation to the final submission.</x:t>
        </x:is>
      </x:c>
      <x:c r="B2" s="2" t="n"/>
      <x:c r="C2" s="2" t="n"/>
      <x:c r="D2" s="2" t="n"/>
      <x:c r="E2" s="2" t="n"/>
      <x:c r="F2" s="2" t="n"/>
      <x:c r="G2" s="2" t="n"/>
      <x:c r="H2" s="2" t="n"/>
      <x:c r="I2" s="2" t="n"/>
      <x:c r="J2" s="2" t="n"/>
      <x:c r="K2" s="2" t="n"/>
      <x:c r="L2" s="2" t="n"/>
      <x:c r="M2" s="2" t="n"/>
      <x:c r="N2" s="2" t="n"/>
      <x:c r="O2" s="2" t="n"/>
      <x:c r="P2" s="2" t="n"/>
      <x:c r="Q2" s="2" t="n"/>
      <x:c r="R2" s="2" t="n"/>
      <x:c r="S2" s="2" t="n"/>
      <x:c r="T2" s="2" t="n"/>
      <x:c r="U2" s="2" t="n"/>
    </x:row>
    <x:row r="3" ht="26" customHeight="1"/>
    <x:row r="4" ht="26" customHeight="1">
      <x:c r="A4" s="3" t="inlineStr">
        <x:is>
          <x:t xml:space="preserve">How to use this sheet</x:t>
        </x:is>
      </x:c>
      <x:c r="B4" s="3" t="n"/>
      <x:c r="C4" s="3" t="n"/>
      <x:c r="D4" s="3" t="n"/>
      <x:c r="E4" s="3" t="n"/>
      <x:c r="F4" s="3" t="n"/>
      <x:c r="G4" s="3" t="n"/>
      <x:c r="H4" s="3" t="n"/>
      <x:c r="I4" s="3" t="inlineStr">
        <x:is>
          <x:t xml:space="preserve">Color key</x:t>
        </x:is>
      </x:c>
      <x:c r="J4" s="3" t="n"/>
      <x:c r="K4" s="3" t="n"/>
      <x:c r="L4" s="3" t="n"/>
      <x:c r="M4" s="3" t="n"/>
      <x:c r="N4" s="3" t="n"/>
      <x:c r="O4" s="3" t="n"/>
      <x:c r="P4" s="3" t="n"/>
      <x:c r="Q4" s="3" t="n"/>
      <x:c r="R4" s="3" t="n"/>
      <x:c r="S4" s="3" t="n"/>
      <x:c r="T4" s="3" t="n"/>
      <x:c r="U4" s="3" t="n"/>
    </x:row>
    <x:row r="5" ht="26" customHeight="1">
      <x:c r="A5" s="4" t="inlineStr">
        <x:is>
          <x:t xml:space="preserve">1. Capture the exact source citation and verbatim requirement.</x:t>
        </x:is>
      </x:c>
      <x:c r="B5" s="4" t="n"/>
      <x:c r="C5" s="4" t="n"/>
      <x:c r="D5" s="4" t="n"/>
      <x:c r="E5" s="4" t="n"/>
      <x:c r="F5" s="4" t="n"/>
      <x:c r="G5" s="4" t="n"/>
      <x:c r="H5" s="4" t="n"/>
      <x:c r="I5" s="6" t="inlineStr">
        <x:is>
          <x:t xml:space="preserve">Blue fill</x:t>
        </x:is>
      </x:c>
      <x:c r="J5" s="4" t="inlineStr">
        <x:is>
          <x:t xml:space="preserve">Team input / working fields</x:t>
        </x:is>
      </x:c>
      <x:c r="K5" s="4" t="n"/>
      <x:c r="L5" s="4" t="n"/>
      <x:c r="M5" s="4" t="n"/>
      <x:c r="N5" s="4" t="n"/>
      <x:c r="O5" s="4" t="n"/>
      <x:c r="P5" s="4" t="n"/>
      <x:c r="Q5" s="4" t="n"/>
      <x:c r="R5" s="4" t="n"/>
      <x:c r="S5" s="4" t="n"/>
      <x:c r="T5" s="4" t="n"/>
      <x:c r="U5" s="4" t="n"/>
    </x:row>
    <x:row r="6" ht="26" customHeight="1">
      <x:c r="A6" s="4" t="inlineStr">
        <x:is>
          <x:t xml:space="preserve">2. Note the proposal volume, outline reference, owner, and evidence needed.</x:t>
        </x:is>
      </x:c>
      <x:c r="B6" s="4" t="n"/>
      <x:c r="C6" s="4" t="n"/>
      <x:c r="D6" s="4" t="n"/>
      <x:c r="E6" s="4" t="n"/>
      <x:c r="F6" s="4" t="n"/>
      <x:c r="G6" s="4" t="n"/>
      <x:c r="H6" s="4" t="n"/>
      <x:c r="I6" s="7" t="inlineStr">
        <x:is>
          <x:t xml:space="preserve">Green fill</x:t>
        </x:is>
      </x:c>
      <x:c r="J6" s="4" t="inlineStr">
        <x:is>
          <x:t xml:space="preserve">Source traceability / imported reference</x:t>
        </x:is>
      </x:c>
      <x:c r="K6" s="4" t="n"/>
      <x:c r="L6" s="4" t="n"/>
      <x:c r="M6" s="4" t="n"/>
      <x:c r="N6" s="4" t="n"/>
      <x:c r="O6" s="4" t="n"/>
      <x:c r="P6" s="4" t="n"/>
      <x:c r="Q6" s="4" t="n"/>
      <x:c r="R6" s="4" t="n"/>
      <x:c r="S6" s="4" t="n"/>
      <x:c r="T6" s="4" t="n"/>
      <x:c r="U6" s="4" t="n"/>
    </x:row>
    <x:row r="7" ht="36" customHeight="1">
      <x:c r="A7" s="13" t="inlineStr">
        <x:is>
          <x:t xml:space="preserve">Req ID</x:t>
        </x:is>
      </x:c>
      <x:c r="B7" s="13" t="inlineStr">
        <x:is>
          <x:t xml:space="preserve">Source Area</x:t>
        </x:is>
      </x:c>
      <x:c r="C7" s="13" t="inlineStr">
        <x:is>
          <x:t xml:space="preserve">Requirement Category</x:t>
        </x:is>
      </x:c>
      <x:c r="D7" s="13" t="inlineStr">
        <x:is>
          <x:t xml:space="preserve">Requirement Level</x:t>
        </x:is>
      </x:c>
      <x:c r="E7" s="13" t="inlineStr">
        <x:is>
          <x:t xml:space="preserve">Source Citation</x:t>
        </x:is>
      </x:c>
      <x:c r="F7" s="13" t="inlineStr">
        <x:is>
          <x:t xml:space="preserve">Verbatim Requirement</x:t>
        </x:is>
      </x:c>
      <x:c r="G7" s="13" t="inlineStr">
        <x:is>
          <x:t xml:space="preserve">Proposal Action / Interpretation</x:t>
        </x:is>
      </x:c>
      <x:c r="H7" s="13" t="inlineStr">
        <x:is>
          <x:t xml:space="preserve">Proposal Volume</x:t>
        </x:is>
      </x:c>
      <x:c r="I7" s="13" t="inlineStr">
        <x:is>
          <x:t xml:space="preserve">Proposal Outline Ref</x:t>
        </x:is>
      </x:c>
      <x:c r="J7" s="13" t="inlineStr">
        <x:is>
          <x:t xml:space="preserve">Owner</x:t>
        </x:is>
      </x:c>
      <x:c r="K7" s="13" t="inlineStr">
        <x:is>
          <x:t xml:space="preserve">Support Owner(s)</x:t>
        </x:is>
      </x:c>
      <x:c r="L7" s="13" t="inlineStr">
        <x:is>
          <x:t xml:space="preserve">Compliance Posture</x:t>
        </x:is>
      </x:c>
      <x:c r="M7" s="13" t="inlineStr">
        <x:is>
          <x:t xml:space="preserve">Draft Status</x:t>
        </x:is>
      </x:c>
      <x:c r="N7" s="13" t="inlineStr">
        <x:is>
          <x:t xml:space="preserve">Evidence / Artifact Needed</x:t>
        </x:is>
      </x:c>
      <x:c r="O7" s="13" t="inlineStr">
        <x:is>
          <x:t xml:space="preserve">Evaluator Focus / Discriminator</x:t>
        </x:is>
      </x:c>
      <x:c r="P7" s="13" t="inlineStr">
        <x:is>
          <x:t xml:space="preserve">Final Proposal Location</x:t>
        </x:is>
      </x:c>
      <x:c r="Q7" s="13" t="inlineStr">
        <x:is>
          <x:t xml:space="preserve">Final Page / File</x:t>
        </x:is>
      </x:c>
      <x:c r="R7" s="13" t="inlineStr">
        <x:is>
          <x:t xml:space="preserve">Amendment / Q&amp;A Impact</x:t>
        </x:is>
      </x:c>
      <x:c r="S7" s="13" t="inlineStr">
        <x:is>
          <x:t xml:space="preserve">Notes / Assumptions</x:t>
        </x:is>
      </x:c>
      <x:c r="T7" s="13" t="inlineStr">
        <x:is>
          <x:t xml:space="preserve">Source URL</x:t>
        </x:is>
      </x:c>
      <x:c r="U7" s="13" t="inlineStr">
        <x:is>
          <x:t xml:space="preserve">Control Flag</x:t>
        </x:is>
      </x:c>
    </x:row>
    <x:row r="8" ht="26" customHeight="1">
      <x:c r="A8" s="21" t="n"/>
      <x:c r="B8" s="22" t="n"/>
      <x:c r="C8" s="21" t="n"/>
      <x:c r="D8" s="21" t="n"/>
      <x:c r="E8" s="23" t="n"/>
      <x:c r="F8" s="21" t="n"/>
      <x:c r="G8" s="21" t="n"/>
      <x:c r="H8" s="21" t="n"/>
      <x:c r="I8" s="21" t="n"/>
      <x:c r="J8" s="21" t="n"/>
      <x:c r="K8" s="21" t="n"/>
      <x:c r="L8" s="21" t="n"/>
      <x:c r="M8" s="21" t="n"/>
      <x:c r="N8" s="21" t="n"/>
      <x:c r="O8" s="21" t="n"/>
      <x:c r="P8" s="21" t="n"/>
      <x:c r="Q8" s="21" t="n"/>
      <x:c r="R8" s="21" t="n"/>
      <x:c r="S8" s="21" t="n"/>
      <x:c r="T8" s="23" t="n"/>
      <x:c r="U8" s="24">
        <x:f>IF($A8="","",IF(OR($L8="Gap",$L8="Question"),"Red flag",IF(OR($J8="",$H8="",$I8=""),"Needs action",IF(AND($L8="Comply",$M8="Final",$P8&lt;&gt;"",$Q8&lt;&gt;""),"Closed","Review"))))</x:f>
      </x:c>
    </x:row>
    <x:row r="9" ht="26" customHeight="1">
      <x:c r="A9" s="21" t="n"/>
      <x:c r="B9" s="22" t="n"/>
      <x:c r="C9" s="21" t="n"/>
      <x:c r="D9" s="21" t="n"/>
      <x:c r="E9" s="23" t="n"/>
      <x:c r="F9" s="21" t="n"/>
      <x:c r="G9" s="21" t="n"/>
      <x:c r="H9" s="21" t="n"/>
      <x:c r="I9" s="21" t="n"/>
      <x:c r="J9" s="21" t="n"/>
      <x:c r="K9" s="21" t="n"/>
      <x:c r="L9" s="21" t="n"/>
      <x:c r="M9" s="21" t="n"/>
      <x:c r="N9" s="21" t="n"/>
      <x:c r="O9" s="21" t="n"/>
      <x:c r="P9" s="21" t="n"/>
      <x:c r="Q9" s="21" t="n"/>
      <x:c r="R9" s="21" t="n"/>
      <x:c r="S9" s="21" t="n"/>
      <x:c r="T9" s="23" t="n"/>
      <x:c r="U9" s="24">
        <x:f>IF($A9="","",IF(OR($L9="Gap",$L9="Question"),"Red flag",IF(OR($J9="",$H9="",$I9=""),"Needs action",IF(AND($L9="Comply",$M9="Final",$P9&lt;&gt;"",$Q9&lt;&gt;""),"Closed","Review"))))</x:f>
      </x:c>
    </x:row>
    <x:row r="10" ht="26" customHeight="1">
      <x:c r="A10" s="21" t="n"/>
      <x:c r="B10" s="22" t="n"/>
      <x:c r="C10" s="21" t="n"/>
      <x:c r="D10" s="21" t="n"/>
      <x:c r="E10" s="23" t="n"/>
      <x:c r="F10" s="21" t="n"/>
      <x:c r="G10" s="21" t="n"/>
      <x:c r="H10" s="21" t="n"/>
      <x:c r="I10" s="21" t="n"/>
      <x:c r="J10" s="21" t="n"/>
      <x:c r="K10" s="21" t="n"/>
      <x:c r="L10" s="21" t="n"/>
      <x:c r="M10" s="21" t="n"/>
      <x:c r="N10" s="21" t="n"/>
      <x:c r="O10" s="21" t="n"/>
      <x:c r="P10" s="21" t="n"/>
      <x:c r="Q10" s="21" t="n"/>
      <x:c r="R10" s="21" t="n"/>
      <x:c r="S10" s="21" t="n"/>
      <x:c r="T10" s="23" t="n"/>
      <x:c r="U10" s="24">
        <x:f>IF($A10="","",IF(OR($L10="Gap",$L10="Question"),"Red flag",IF(OR($J10="",$H10="",$I10=""),"Needs action",IF(AND($L10="Comply",$M10="Final",$P10&lt;&gt;"",$Q10&lt;&gt;""),"Closed","Review"))))</x:f>
      </x:c>
    </x:row>
    <x:row r="11" ht="26" customHeight="1">
      <x:c r="A11" s="21" t="n"/>
      <x:c r="B11" s="22" t="n"/>
      <x:c r="C11" s="21" t="n"/>
      <x:c r="D11" s="21" t="n"/>
      <x:c r="E11" s="23" t="n"/>
      <x:c r="F11" s="21" t="n"/>
      <x:c r="G11" s="21" t="n"/>
      <x:c r="H11" s="21" t="n"/>
      <x:c r="I11" s="21" t="n"/>
      <x:c r="J11" s="21" t="n"/>
      <x:c r="K11" s="21" t="n"/>
      <x:c r="L11" s="21" t="n"/>
      <x:c r="M11" s="21" t="n"/>
      <x:c r="N11" s="21" t="n"/>
      <x:c r="O11" s="21" t="n"/>
      <x:c r="P11" s="21" t="n"/>
      <x:c r="Q11" s="21" t="n"/>
      <x:c r="R11" s="21" t="n"/>
      <x:c r="S11" s="21" t="n"/>
      <x:c r="T11" s="23" t="n"/>
      <x:c r="U11" s="24">
        <x:f>IF($A11="","",IF(OR($L11="Gap",$L11="Question"),"Red flag",IF(OR($J11="",$H11="",$I11=""),"Needs action",IF(AND($L11="Comply",$M11="Final",$P11&lt;&gt;"",$Q11&lt;&gt;""),"Closed","Review"))))</x:f>
      </x:c>
    </x:row>
    <x:row r="12" ht="26" customHeight="1">
      <x:c r="A12" s="21" t="n"/>
      <x:c r="B12" s="22" t="n"/>
      <x:c r="C12" s="21" t="n"/>
      <x:c r="D12" s="21" t="n"/>
      <x:c r="E12" s="23" t="n"/>
      <x:c r="F12" s="21" t="n"/>
      <x:c r="G12" s="21" t="n"/>
      <x:c r="H12" s="21" t="n"/>
      <x:c r="I12" s="21" t="n"/>
      <x:c r="J12" s="21" t="n"/>
      <x:c r="K12" s="21" t="n"/>
      <x:c r="L12" s="21" t="n"/>
      <x:c r="M12" s="21" t="n"/>
      <x:c r="N12" s="21" t="n"/>
      <x:c r="O12" s="21" t="n"/>
      <x:c r="P12" s="21" t="n"/>
      <x:c r="Q12" s="21" t="n"/>
      <x:c r="R12" s="21" t="n"/>
      <x:c r="S12" s="21" t="n"/>
      <x:c r="T12" s="23" t="n"/>
      <x:c r="U12" s="24">
        <x:f>IF($A12="","",IF(OR($L12="Gap",$L12="Question"),"Red flag",IF(OR($J12="",$H12="",$I12=""),"Needs action",IF(AND($L12="Comply",$M12="Final",$P12&lt;&gt;"",$Q12&lt;&gt;""),"Closed","Review"))))</x:f>
      </x:c>
    </x:row>
    <x:row r="13" ht="26" customHeight="1">
      <x:c r="A13" s="21" t="n"/>
      <x:c r="B13" s="22" t="n"/>
      <x:c r="C13" s="21" t="n"/>
      <x:c r="D13" s="21" t="n"/>
      <x:c r="E13" s="23" t="n"/>
      <x:c r="F13" s="21" t="n"/>
      <x:c r="G13" s="21" t="n"/>
      <x:c r="H13" s="21" t="n"/>
      <x:c r="I13" s="21" t="n"/>
      <x:c r="J13" s="21" t="n"/>
      <x:c r="K13" s="21" t="n"/>
      <x:c r="L13" s="21" t="n"/>
      <x:c r="M13" s="21" t="n"/>
      <x:c r="N13" s="21" t="n"/>
      <x:c r="O13" s="21" t="n"/>
      <x:c r="P13" s="21" t="n"/>
      <x:c r="Q13" s="21" t="n"/>
      <x:c r="R13" s="21" t="n"/>
      <x:c r="S13" s="21" t="n"/>
      <x:c r="T13" s="23" t="n"/>
      <x:c r="U13" s="24">
        <x:f>IF($A13="","",IF(OR($L13="Gap",$L13="Question"),"Red flag",IF(OR($J13="",$H13="",$I13=""),"Needs action",IF(AND($L13="Comply",$M13="Final",$P13&lt;&gt;"",$Q13&lt;&gt;""),"Closed","Review"))))</x:f>
      </x:c>
    </x:row>
    <x:row r="14" ht="26" customHeight="1">
      <x:c r="A14" s="21" t="n"/>
      <x:c r="B14" s="22" t="n"/>
      <x:c r="C14" s="21" t="n"/>
      <x:c r="D14" s="21" t="n"/>
      <x:c r="E14" s="23" t="n"/>
      <x:c r="F14" s="21" t="n"/>
      <x:c r="G14" s="21" t="n"/>
      <x:c r="H14" s="21" t="n"/>
      <x:c r="I14" s="21" t="n"/>
      <x:c r="J14" s="21" t="n"/>
      <x:c r="K14" s="21" t="n"/>
      <x:c r="L14" s="21" t="n"/>
      <x:c r="M14" s="21" t="n"/>
      <x:c r="N14" s="21" t="n"/>
      <x:c r="O14" s="21" t="n"/>
      <x:c r="P14" s="21" t="n"/>
      <x:c r="Q14" s="21" t="n"/>
      <x:c r="R14" s="21" t="n"/>
      <x:c r="S14" s="21" t="n"/>
      <x:c r="T14" s="23" t="n"/>
      <x:c r="U14" s="24">
        <x:f>IF($A14="","",IF(OR($L14="Gap",$L14="Question"),"Red flag",IF(OR($J14="",$H14="",$I14=""),"Needs action",IF(AND($L14="Comply",$M14="Final",$P14&lt;&gt;"",$Q14&lt;&gt;""),"Closed","Review"))))</x:f>
      </x:c>
    </x:row>
    <x:row r="15" ht="26" customHeight="1">
      <x:c r="A15" s="21" t="n"/>
      <x:c r="B15" s="22" t="n"/>
      <x:c r="C15" s="21" t="n"/>
      <x:c r="D15" s="21" t="n"/>
      <x:c r="E15" s="23" t="n"/>
      <x:c r="F15" s="21" t="n"/>
      <x:c r="G15" s="21" t="n"/>
      <x:c r="H15" s="21" t="n"/>
      <x:c r="I15" s="21" t="n"/>
      <x:c r="J15" s="21" t="n"/>
      <x:c r="K15" s="21" t="n"/>
      <x:c r="L15" s="21" t="n"/>
      <x:c r="M15" s="21" t="n"/>
      <x:c r="N15" s="21" t="n"/>
      <x:c r="O15" s="21" t="n"/>
      <x:c r="P15" s="21" t="n"/>
      <x:c r="Q15" s="21" t="n"/>
      <x:c r="R15" s="21" t="n"/>
      <x:c r="S15" s="21" t="n"/>
      <x:c r="T15" s="23" t="n"/>
      <x:c r="U15" s="24">
        <x:f>IF($A15="","",IF(OR($L15="Gap",$L15="Question"),"Red flag",IF(OR($J15="",$H15="",$I15=""),"Needs action",IF(AND($L15="Comply",$M15="Final",$P15&lt;&gt;"",$Q15&lt;&gt;""),"Closed","Review"))))</x:f>
      </x:c>
    </x:row>
    <x:row r="16" ht="26" customHeight="1">
      <x:c r="A16" s="21" t="n"/>
      <x:c r="B16" s="22" t="n"/>
      <x:c r="C16" s="21" t="n"/>
      <x:c r="D16" s="21" t="n"/>
      <x:c r="E16" s="23" t="n"/>
      <x:c r="F16" s="21" t="n"/>
      <x:c r="G16" s="21" t="n"/>
      <x:c r="H16" s="21" t="n"/>
      <x:c r="I16" s="21" t="n"/>
      <x:c r="J16" s="21" t="n"/>
      <x:c r="K16" s="21" t="n"/>
      <x:c r="L16" s="21" t="n"/>
      <x:c r="M16" s="21" t="n"/>
      <x:c r="N16" s="21" t="n"/>
      <x:c r="O16" s="21" t="n"/>
      <x:c r="P16" s="21" t="n"/>
      <x:c r="Q16" s="21" t="n"/>
      <x:c r="R16" s="21" t="n"/>
      <x:c r="S16" s="21" t="n"/>
      <x:c r="T16" s="23" t="n"/>
      <x:c r="U16" s="24">
        <x:f>IF($A16="","",IF(OR($L16="Gap",$L16="Question"),"Red flag",IF(OR($J16="",$H16="",$I16=""),"Needs action",IF(AND($L16="Comply",$M16="Final",$P16&lt;&gt;"",$Q16&lt;&gt;""),"Closed","Review"))))</x:f>
      </x:c>
    </x:row>
    <x:row r="17" ht="26" customHeight="1">
      <x:c r="A17" s="21" t="n"/>
      <x:c r="B17" s="22" t="n"/>
      <x:c r="C17" s="21" t="n"/>
      <x:c r="D17" s="21" t="n"/>
      <x:c r="E17" s="23" t="n"/>
      <x:c r="F17" s="21" t="n"/>
      <x:c r="G17" s="21" t="n"/>
      <x:c r="H17" s="21" t="n"/>
      <x:c r="I17" s="21" t="n"/>
      <x:c r="J17" s="21" t="n"/>
      <x:c r="K17" s="21" t="n"/>
      <x:c r="L17" s="21" t="n"/>
      <x:c r="M17" s="21" t="n"/>
      <x:c r="N17" s="21" t="n"/>
      <x:c r="O17" s="21" t="n"/>
      <x:c r="P17" s="21" t="n"/>
      <x:c r="Q17" s="21" t="n"/>
      <x:c r="R17" s="21" t="n"/>
      <x:c r="S17" s="21" t="n"/>
      <x:c r="T17" s="23" t="n"/>
      <x:c r="U17" s="24">
        <x:f>IF($A17="","",IF(OR($L17="Gap",$L17="Question"),"Red flag",IF(OR($J17="",$H17="",$I17=""),"Needs action",IF(AND($L17="Comply",$M17="Final",$P17&lt;&gt;"",$Q17&lt;&gt;""),"Closed","Review"))))</x:f>
      </x:c>
    </x:row>
    <x:row r="18" ht="26" customHeight="1">
      <x:c r="A18" s="21" t="n"/>
      <x:c r="B18" s="22" t="n"/>
      <x:c r="C18" s="21" t="n"/>
      <x:c r="D18" s="21" t="n"/>
      <x:c r="E18" s="23" t="n"/>
      <x:c r="F18" s="21" t="n"/>
      <x:c r="G18" s="21" t="n"/>
      <x:c r="H18" s="21" t="n"/>
      <x:c r="I18" s="21" t="n"/>
      <x:c r="J18" s="21" t="n"/>
      <x:c r="K18" s="21" t="n"/>
      <x:c r="L18" s="21" t="n"/>
      <x:c r="M18" s="21" t="n"/>
      <x:c r="N18" s="21" t="n"/>
      <x:c r="O18" s="21" t="n"/>
      <x:c r="P18" s="21" t="n"/>
      <x:c r="Q18" s="21" t="n"/>
      <x:c r="R18" s="21" t="n"/>
      <x:c r="S18" s="21" t="n"/>
      <x:c r="T18" s="23" t="n"/>
      <x:c r="U18" s="24">
        <x:f>IF($A18="","",IF(OR($L18="Gap",$L18="Question"),"Red flag",IF(OR($J18="",$H18="",$I18=""),"Needs action",IF(AND($L18="Comply",$M18="Final",$P18&lt;&gt;"",$Q18&lt;&gt;""),"Closed","Review"))))</x:f>
      </x:c>
    </x:row>
    <x:row r="19" ht="26" customHeight="1">
      <x:c r="A19" s="21" t="n"/>
      <x:c r="B19" s="22" t="n"/>
      <x:c r="C19" s="21" t="n"/>
      <x:c r="D19" s="21" t="n"/>
      <x:c r="E19" s="23" t="n"/>
      <x:c r="F19" s="21" t="n"/>
      <x:c r="G19" s="21" t="n"/>
      <x:c r="H19" s="21" t="n"/>
      <x:c r="I19" s="21" t="n"/>
      <x:c r="J19" s="21" t="n"/>
      <x:c r="K19" s="21" t="n"/>
      <x:c r="L19" s="21" t="n"/>
      <x:c r="M19" s="21" t="n"/>
      <x:c r="N19" s="21" t="n"/>
      <x:c r="O19" s="21" t="n"/>
      <x:c r="P19" s="21" t="n"/>
      <x:c r="Q19" s="21" t="n"/>
      <x:c r="R19" s="21" t="n"/>
      <x:c r="S19" s="21" t="n"/>
      <x:c r="T19" s="23" t="n"/>
      <x:c r="U19" s="24">
        <x:f>IF($A19="","",IF(OR($L19="Gap",$L19="Question"),"Red flag",IF(OR($J19="",$H19="",$I19=""),"Needs action",IF(AND($L19="Comply",$M19="Final",$P19&lt;&gt;"",$Q19&lt;&gt;""),"Closed","Review"))))</x:f>
      </x:c>
    </x:row>
    <x:row r="20" ht="26" customHeight="1">
      <x:c r="A20" s="21" t="n"/>
      <x:c r="B20" s="22" t="n"/>
      <x:c r="C20" s="21" t="n"/>
      <x:c r="D20" s="21" t="n"/>
      <x:c r="E20" s="23" t="n"/>
      <x:c r="F20" s="21" t="n"/>
      <x:c r="G20" s="21" t="n"/>
      <x:c r="H20" s="21" t="n"/>
      <x:c r="I20" s="21" t="n"/>
      <x:c r="J20" s="21" t="n"/>
      <x:c r="K20" s="21" t="n"/>
      <x:c r="L20" s="21" t="n"/>
      <x:c r="M20" s="21" t="n"/>
      <x:c r="N20" s="21" t="n"/>
      <x:c r="O20" s="21" t="n"/>
      <x:c r="P20" s="21" t="n"/>
      <x:c r="Q20" s="21" t="n"/>
      <x:c r="R20" s="21" t="n"/>
      <x:c r="S20" s="21" t="n"/>
      <x:c r="T20" s="23" t="n"/>
      <x:c r="U20" s="24">
        <x:f>IF($A20="","",IF(OR($L20="Gap",$L20="Question"),"Red flag",IF(OR($J20="",$H20="",$I20=""),"Needs action",IF(AND($L20="Comply",$M20="Final",$P20&lt;&gt;"",$Q20&lt;&gt;""),"Closed","Review"))))</x:f>
      </x:c>
    </x:row>
    <x:row r="21" ht="26" customHeight="1">
      <x:c r="A21" s="21" t="n"/>
      <x:c r="B21" s="22" t="n"/>
      <x:c r="C21" s="21" t="n"/>
      <x:c r="D21" s="21" t="n"/>
      <x:c r="E21" s="23" t="n"/>
      <x:c r="F21" s="21" t="n"/>
      <x:c r="G21" s="21" t="n"/>
      <x:c r="H21" s="21" t="n"/>
      <x:c r="I21" s="21" t="n"/>
      <x:c r="J21" s="21" t="n"/>
      <x:c r="K21" s="21" t="n"/>
      <x:c r="L21" s="21" t="n"/>
      <x:c r="M21" s="21" t="n"/>
      <x:c r="N21" s="21" t="n"/>
      <x:c r="O21" s="21" t="n"/>
      <x:c r="P21" s="21" t="n"/>
      <x:c r="Q21" s="21" t="n"/>
      <x:c r="R21" s="21" t="n"/>
      <x:c r="S21" s="21" t="n"/>
      <x:c r="T21" s="23" t="n"/>
      <x:c r="U21" s="24">
        <x:f>IF($A21="","",IF(OR($L21="Gap",$L21="Question"),"Red flag",IF(OR($J21="",$H21="",$I21=""),"Needs action",IF(AND($L21="Comply",$M21="Final",$P21&lt;&gt;"",$Q21&lt;&gt;""),"Closed","Review"))))</x:f>
      </x:c>
    </x:row>
    <x:row r="22" ht="26" customHeight="1">
      <x:c r="A22" s="21" t="n"/>
      <x:c r="B22" s="22" t="n"/>
      <x:c r="C22" s="21" t="n"/>
      <x:c r="D22" s="21" t="n"/>
      <x:c r="E22" s="23" t="n"/>
      <x:c r="F22" s="21" t="n"/>
      <x:c r="G22" s="21" t="n"/>
      <x:c r="H22" s="21" t="n"/>
      <x:c r="I22" s="21" t="n"/>
      <x:c r="J22" s="21" t="n"/>
      <x:c r="K22" s="21" t="n"/>
      <x:c r="L22" s="21" t="n"/>
      <x:c r="M22" s="21" t="n"/>
      <x:c r="N22" s="21" t="n"/>
      <x:c r="O22" s="21" t="n"/>
      <x:c r="P22" s="21" t="n"/>
      <x:c r="Q22" s="21" t="n"/>
      <x:c r="R22" s="21" t="n"/>
      <x:c r="S22" s="21" t="n"/>
      <x:c r="T22" s="23" t="n"/>
      <x:c r="U22" s="24">
        <x:f>IF($A22="","",IF(OR($L22="Gap",$L22="Question"),"Red flag",IF(OR($J22="",$H22="",$I22=""),"Needs action",IF(AND($L22="Comply",$M22="Final",$P22&lt;&gt;"",$Q22&lt;&gt;""),"Closed","Review"))))</x:f>
      </x:c>
    </x:row>
    <x:row r="23" ht="26" customHeight="1">
      <x:c r="A23" s="21" t="n"/>
      <x:c r="B23" s="22" t="n"/>
      <x:c r="C23" s="21" t="n"/>
      <x:c r="D23" s="21" t="n"/>
      <x:c r="E23" s="23" t="n"/>
      <x:c r="F23" s="21" t="n"/>
      <x:c r="G23" s="21" t="n"/>
      <x:c r="H23" s="21" t="n"/>
      <x:c r="I23" s="21" t="n"/>
      <x:c r="J23" s="21" t="n"/>
      <x:c r="K23" s="21" t="n"/>
      <x:c r="L23" s="21" t="n"/>
      <x:c r="M23" s="21" t="n"/>
      <x:c r="N23" s="21" t="n"/>
      <x:c r="O23" s="21" t="n"/>
      <x:c r="P23" s="21" t="n"/>
      <x:c r="Q23" s="21" t="n"/>
      <x:c r="R23" s="21" t="n"/>
      <x:c r="S23" s="21" t="n"/>
      <x:c r="T23" s="23" t="n"/>
      <x:c r="U23" s="24">
        <x:f>IF($A23="","",IF(OR($L23="Gap",$L23="Question"),"Red flag",IF(OR($J23="",$H23="",$I23=""),"Needs action",IF(AND($L23="Comply",$M23="Final",$P23&lt;&gt;"",$Q23&lt;&gt;""),"Closed","Review"))))</x:f>
      </x:c>
    </x:row>
    <x:row r="24" ht="26" customHeight="1">
      <x:c r="A24" s="21" t="n"/>
      <x:c r="B24" s="22" t="n"/>
      <x:c r="C24" s="21" t="n"/>
      <x:c r="D24" s="21" t="n"/>
      <x:c r="E24" s="23" t="n"/>
      <x:c r="F24" s="21" t="n"/>
      <x:c r="G24" s="21" t="n"/>
      <x:c r="H24" s="21" t="n"/>
      <x:c r="I24" s="21" t="n"/>
      <x:c r="J24" s="21" t="n"/>
      <x:c r="K24" s="21" t="n"/>
      <x:c r="L24" s="21" t="n"/>
      <x:c r="M24" s="21" t="n"/>
      <x:c r="N24" s="21" t="n"/>
      <x:c r="O24" s="21" t="n"/>
      <x:c r="P24" s="21" t="n"/>
      <x:c r="Q24" s="21" t="n"/>
      <x:c r="R24" s="21" t="n"/>
      <x:c r="S24" s="21" t="n"/>
      <x:c r="T24" s="23" t="n"/>
      <x:c r="U24" s="24">
        <x:f>IF($A24="","",IF(OR($L24="Gap",$L24="Question"),"Red flag",IF(OR($J24="",$H24="",$I24=""),"Needs action",IF(AND($L24="Comply",$M24="Final",$P24&lt;&gt;"",$Q24&lt;&gt;""),"Closed","Review"))))</x:f>
      </x:c>
    </x:row>
    <x:row r="25" ht="26" customHeight="1">
      <x:c r="A25" s="21" t="n"/>
      <x:c r="B25" s="22" t="n"/>
      <x:c r="C25" s="21" t="n"/>
      <x:c r="D25" s="21" t="n"/>
      <x:c r="E25" s="23" t="n"/>
      <x:c r="F25" s="21" t="n"/>
      <x:c r="G25" s="21" t="n"/>
      <x:c r="H25" s="21" t="n"/>
      <x:c r="I25" s="21" t="n"/>
      <x:c r="J25" s="21" t="n"/>
      <x:c r="K25" s="21" t="n"/>
      <x:c r="L25" s="21" t="n"/>
      <x:c r="M25" s="21" t="n"/>
      <x:c r="N25" s="21" t="n"/>
      <x:c r="O25" s="21" t="n"/>
      <x:c r="P25" s="21" t="n"/>
      <x:c r="Q25" s="21" t="n"/>
      <x:c r="R25" s="21" t="n"/>
      <x:c r="S25" s="21" t="n"/>
      <x:c r="T25" s="23" t="n"/>
      <x:c r="U25" s="24">
        <x:f>IF($A25="","",IF(OR($L25="Gap",$L25="Question"),"Red flag",IF(OR($J25="",$H25="",$I25=""),"Needs action",IF(AND($L25="Comply",$M25="Final",$P25&lt;&gt;"",$Q25&lt;&gt;""),"Closed","Review"))))</x:f>
      </x:c>
    </x:row>
    <x:row r="26" ht="26" customHeight="1">
      <x:c r="A26" s="21" t="n"/>
      <x:c r="B26" s="22" t="n"/>
      <x:c r="C26" s="21" t="n"/>
      <x:c r="D26" s="21" t="n"/>
      <x:c r="E26" s="23" t="n"/>
      <x:c r="F26" s="21" t="n"/>
      <x:c r="G26" s="21" t="n"/>
      <x:c r="H26" s="21" t="n"/>
      <x:c r="I26" s="21" t="n"/>
      <x:c r="J26" s="21" t="n"/>
      <x:c r="K26" s="21" t="n"/>
      <x:c r="L26" s="21" t="n"/>
      <x:c r="M26" s="21" t="n"/>
      <x:c r="N26" s="21" t="n"/>
      <x:c r="O26" s="21" t="n"/>
      <x:c r="P26" s="21" t="n"/>
      <x:c r="Q26" s="21" t="n"/>
      <x:c r="R26" s="21" t="n"/>
      <x:c r="S26" s="21" t="n"/>
      <x:c r="T26" s="23" t="n"/>
      <x:c r="U26" s="24">
        <x:f>IF($A26="","",IF(OR($L26="Gap",$L26="Question"),"Red flag",IF(OR($J26="",$H26="",$I26=""),"Needs action",IF(AND($L26="Comply",$M26="Final",$P26&lt;&gt;"",$Q26&lt;&gt;""),"Closed","Review"))))</x:f>
      </x:c>
    </x:row>
    <x:row r="27" ht="26" customHeight="1">
      <x:c r="A27" s="21" t="n"/>
      <x:c r="B27" s="22" t="n"/>
      <x:c r="C27" s="21" t="n"/>
      <x:c r="D27" s="21" t="n"/>
      <x:c r="E27" s="23" t="n"/>
      <x:c r="F27" s="21" t="n"/>
      <x:c r="G27" s="21" t="n"/>
      <x:c r="H27" s="21" t="n"/>
      <x:c r="I27" s="21" t="n"/>
      <x:c r="J27" s="21" t="n"/>
      <x:c r="K27" s="21" t="n"/>
      <x:c r="L27" s="21" t="n"/>
      <x:c r="M27" s="21" t="n"/>
      <x:c r="N27" s="21" t="n"/>
      <x:c r="O27" s="21" t="n"/>
      <x:c r="P27" s="21" t="n"/>
      <x:c r="Q27" s="21" t="n"/>
      <x:c r="R27" s="21" t="n"/>
      <x:c r="S27" s="21" t="n"/>
      <x:c r="T27" s="23" t="n"/>
      <x:c r="U27" s="24">
        <x:f>IF($A27="","",IF(OR($L27="Gap",$L27="Question"),"Red flag",IF(OR($J27="",$H27="",$I27=""),"Needs action",IF(AND($L27="Comply",$M27="Final",$P27&lt;&gt;"",$Q27&lt;&gt;""),"Closed","Review"))))</x:f>
      </x:c>
    </x:row>
    <x:row r="28" ht="26" customHeight="1">
      <x:c r="A28" s="21" t="n"/>
      <x:c r="B28" s="22" t="n"/>
      <x:c r="C28" s="21" t="n"/>
      <x:c r="D28" s="21" t="n"/>
      <x:c r="E28" s="23" t="n"/>
      <x:c r="F28" s="21" t="n"/>
      <x:c r="G28" s="21" t="n"/>
      <x:c r="H28" s="21" t="n"/>
      <x:c r="I28" s="21" t="n"/>
      <x:c r="J28" s="21" t="n"/>
      <x:c r="K28" s="21" t="n"/>
      <x:c r="L28" s="21" t="n"/>
      <x:c r="M28" s="21" t="n"/>
      <x:c r="N28" s="21" t="n"/>
      <x:c r="O28" s="21" t="n"/>
      <x:c r="P28" s="21" t="n"/>
      <x:c r="Q28" s="21" t="n"/>
      <x:c r="R28" s="21" t="n"/>
      <x:c r="S28" s="21" t="n"/>
      <x:c r="T28" s="23" t="n"/>
      <x:c r="U28" s="24">
        <x:f>IF($A28="","",IF(OR($L28="Gap",$L28="Question"),"Red flag",IF(OR($J28="",$H28="",$I28=""),"Needs action",IF(AND($L28="Comply",$M28="Final",$P28&lt;&gt;"",$Q28&lt;&gt;""),"Closed","Review"))))</x:f>
      </x:c>
    </x:row>
    <x:row r="29" ht="26" customHeight="1">
      <x:c r="A29" s="21" t="n"/>
      <x:c r="B29" s="22" t="n"/>
      <x:c r="C29" s="21" t="n"/>
      <x:c r="D29" s="21" t="n"/>
      <x:c r="E29" s="23" t="n"/>
      <x:c r="F29" s="21" t="n"/>
      <x:c r="G29" s="21" t="n"/>
      <x:c r="H29" s="21" t="n"/>
      <x:c r="I29" s="21" t="n"/>
      <x:c r="J29" s="21" t="n"/>
      <x:c r="K29" s="21" t="n"/>
      <x:c r="L29" s="21" t="n"/>
      <x:c r="M29" s="21" t="n"/>
      <x:c r="N29" s="21" t="n"/>
      <x:c r="O29" s="21" t="n"/>
      <x:c r="P29" s="21" t="n"/>
      <x:c r="Q29" s="21" t="n"/>
      <x:c r="R29" s="21" t="n"/>
      <x:c r="S29" s="21" t="n"/>
      <x:c r="T29" s="23" t="n"/>
      <x:c r="U29" s="24">
        <x:f>IF($A29="","",IF(OR($L29="Gap",$L29="Question"),"Red flag",IF(OR($J29="",$H29="",$I29=""),"Needs action",IF(AND($L29="Comply",$M29="Final",$P29&lt;&gt;"",$Q29&lt;&gt;""),"Closed","Review"))))</x:f>
      </x:c>
    </x:row>
    <x:row r="30" ht="26" customHeight="1">
      <x:c r="A30" s="21" t="n"/>
      <x:c r="B30" s="22" t="n"/>
      <x:c r="C30" s="21" t="n"/>
      <x:c r="D30" s="21" t="n"/>
      <x:c r="E30" s="23" t="n"/>
      <x:c r="F30" s="21" t="n"/>
      <x:c r="G30" s="21" t="n"/>
      <x:c r="H30" s="21" t="n"/>
      <x:c r="I30" s="21" t="n"/>
      <x:c r="J30" s="21" t="n"/>
      <x:c r="K30" s="21" t="n"/>
      <x:c r="L30" s="21" t="n"/>
      <x:c r="M30" s="21" t="n"/>
      <x:c r="N30" s="21" t="n"/>
      <x:c r="O30" s="21" t="n"/>
      <x:c r="P30" s="21" t="n"/>
      <x:c r="Q30" s="21" t="n"/>
      <x:c r="R30" s="21" t="n"/>
      <x:c r="S30" s="21" t="n"/>
      <x:c r="T30" s="23" t="n"/>
      <x:c r="U30" s="24">
        <x:f>IF($A30="","",IF(OR($L30="Gap",$L30="Question"),"Red flag",IF(OR($J30="",$H30="",$I30=""),"Needs action",IF(AND($L30="Comply",$M30="Final",$P30&lt;&gt;"",$Q30&lt;&gt;""),"Closed","Review"))))</x:f>
      </x:c>
    </x:row>
    <x:row r="31" ht="26" customHeight="1">
      <x:c r="A31" s="21" t="n"/>
      <x:c r="B31" s="22" t="n"/>
      <x:c r="C31" s="21" t="n"/>
      <x:c r="D31" s="21" t="n"/>
      <x:c r="E31" s="23" t="n"/>
      <x:c r="F31" s="21" t="n"/>
      <x:c r="G31" s="21" t="n"/>
      <x:c r="H31" s="21" t="n"/>
      <x:c r="I31" s="21" t="n"/>
      <x:c r="J31" s="21" t="n"/>
      <x:c r="K31" s="21" t="n"/>
      <x:c r="L31" s="21" t="n"/>
      <x:c r="M31" s="21" t="n"/>
      <x:c r="N31" s="21" t="n"/>
      <x:c r="O31" s="21" t="n"/>
      <x:c r="P31" s="21" t="n"/>
      <x:c r="Q31" s="21" t="n"/>
      <x:c r="R31" s="21" t="n"/>
      <x:c r="S31" s="21" t="n"/>
      <x:c r="T31" s="23" t="n"/>
      <x:c r="U31" s="24">
        <x:f>IF($A31="","",IF(OR($L31="Gap",$L31="Question"),"Red flag",IF(OR($J31="",$H31="",$I31=""),"Needs action",IF(AND($L31="Comply",$M31="Final",$P31&lt;&gt;"",$Q31&lt;&gt;""),"Closed","Review"))))</x:f>
      </x:c>
    </x:row>
    <x:row r="32" ht="26" customHeight="1">
      <x:c r="A32" s="21" t="n"/>
      <x:c r="B32" s="22" t="n"/>
      <x:c r="C32" s="21" t="n"/>
      <x:c r="D32" s="21" t="n"/>
      <x:c r="E32" s="23" t="n"/>
      <x:c r="F32" s="21" t="n"/>
      <x:c r="G32" s="21" t="n"/>
      <x:c r="H32" s="21" t="n"/>
      <x:c r="I32" s="21" t="n"/>
      <x:c r="J32" s="21" t="n"/>
      <x:c r="K32" s="21" t="n"/>
      <x:c r="L32" s="21" t="n"/>
      <x:c r="M32" s="21" t="n"/>
      <x:c r="N32" s="21" t="n"/>
      <x:c r="O32" s="21" t="n"/>
      <x:c r="P32" s="21" t="n"/>
      <x:c r="Q32" s="21" t="n"/>
      <x:c r="R32" s="21" t="n"/>
      <x:c r="S32" s="21" t="n"/>
      <x:c r="T32" s="23" t="n"/>
      <x:c r="U32" s="24">
        <x:f>IF($A32="","",IF(OR($L32="Gap",$L32="Question"),"Red flag",IF(OR($J32="",$H32="",$I32=""),"Needs action",IF(AND($L32="Comply",$M32="Final",$P32&lt;&gt;"",$Q32&lt;&gt;""),"Closed","Review"))))</x:f>
      </x:c>
    </x:row>
    <x:row r="33" ht="26" customHeight="1">
      <x:c r="A33" s="21" t="n"/>
      <x:c r="B33" s="22" t="n"/>
      <x:c r="C33" s="21" t="n"/>
      <x:c r="D33" s="21" t="n"/>
      <x:c r="E33" s="23" t="n"/>
      <x:c r="F33" s="21" t="n"/>
      <x:c r="G33" s="21" t="n"/>
      <x:c r="H33" s="21" t="n"/>
      <x:c r="I33" s="21" t="n"/>
      <x:c r="J33" s="21" t="n"/>
      <x:c r="K33" s="21" t="n"/>
      <x:c r="L33" s="21" t="n"/>
      <x:c r="M33" s="21" t="n"/>
      <x:c r="N33" s="21" t="n"/>
      <x:c r="O33" s="21" t="n"/>
      <x:c r="P33" s="21" t="n"/>
      <x:c r="Q33" s="21" t="n"/>
      <x:c r="R33" s="21" t="n"/>
      <x:c r="S33" s="21" t="n"/>
      <x:c r="T33" s="23" t="n"/>
      <x:c r="U33" s="24">
        <x:f>IF($A33="","",IF(OR($L33="Gap",$L33="Question"),"Red flag",IF(OR($J33="",$H33="",$I33=""),"Needs action",IF(AND($L33="Comply",$M33="Final",$P33&lt;&gt;"",$Q33&lt;&gt;""),"Closed","Review"))))</x:f>
      </x:c>
    </x:row>
    <x:row r="34" ht="26" customHeight="1">
      <x:c r="A34" s="21" t="n"/>
      <x:c r="B34" s="22" t="n"/>
      <x:c r="C34" s="21" t="n"/>
      <x:c r="D34" s="21" t="n"/>
      <x:c r="E34" s="23" t="n"/>
      <x:c r="F34" s="21" t="n"/>
      <x:c r="G34" s="21" t="n"/>
      <x:c r="H34" s="21" t="n"/>
      <x:c r="I34" s="21" t="n"/>
      <x:c r="J34" s="21" t="n"/>
      <x:c r="K34" s="21" t="n"/>
      <x:c r="L34" s="21" t="n"/>
      <x:c r="M34" s="21" t="n"/>
      <x:c r="N34" s="21" t="n"/>
      <x:c r="O34" s="21" t="n"/>
      <x:c r="P34" s="21" t="n"/>
      <x:c r="Q34" s="21" t="n"/>
      <x:c r="R34" s="21" t="n"/>
      <x:c r="S34" s="21" t="n"/>
      <x:c r="T34" s="23" t="n"/>
      <x:c r="U34" s="24">
        <x:f>IF($A34="","",IF(OR($L34="Gap",$L34="Question"),"Red flag",IF(OR($J34="",$H34="",$I34=""),"Needs action",IF(AND($L34="Comply",$M34="Final",$P34&lt;&gt;"",$Q34&lt;&gt;""),"Closed","Review"))))</x:f>
      </x:c>
    </x:row>
    <x:row r="35" ht="26" customHeight="1">
      <x:c r="A35" s="21" t="n"/>
      <x:c r="B35" s="22" t="n"/>
      <x:c r="C35" s="21" t="n"/>
      <x:c r="D35" s="21" t="n"/>
      <x:c r="E35" s="23" t="n"/>
      <x:c r="F35" s="21" t="n"/>
      <x:c r="G35" s="21" t="n"/>
      <x:c r="H35" s="21" t="n"/>
      <x:c r="I35" s="21" t="n"/>
      <x:c r="J35" s="21" t="n"/>
      <x:c r="K35" s="21" t="n"/>
      <x:c r="L35" s="21" t="n"/>
      <x:c r="M35" s="21" t="n"/>
      <x:c r="N35" s="21" t="n"/>
      <x:c r="O35" s="21" t="n"/>
      <x:c r="P35" s="21" t="n"/>
      <x:c r="Q35" s="21" t="n"/>
      <x:c r="R35" s="21" t="n"/>
      <x:c r="S35" s="21" t="n"/>
      <x:c r="T35" s="23" t="n"/>
      <x:c r="U35" s="24">
        <x:f>IF($A35="","",IF(OR($L35="Gap",$L35="Question"),"Red flag",IF(OR($J35="",$H35="",$I35=""),"Needs action",IF(AND($L35="Comply",$M35="Final",$P35&lt;&gt;"",$Q35&lt;&gt;""),"Closed","Review"))))</x:f>
      </x:c>
    </x:row>
    <x:row r="36" ht="26" customHeight="1">
      <x:c r="A36" s="21" t="n"/>
      <x:c r="B36" s="22" t="n"/>
      <x:c r="C36" s="21" t="n"/>
      <x:c r="D36" s="21" t="n"/>
      <x:c r="E36" s="23" t="n"/>
      <x:c r="F36" s="21" t="n"/>
      <x:c r="G36" s="21" t="n"/>
      <x:c r="H36" s="21" t="n"/>
      <x:c r="I36" s="21" t="n"/>
      <x:c r="J36" s="21" t="n"/>
      <x:c r="K36" s="21" t="n"/>
      <x:c r="L36" s="21" t="n"/>
      <x:c r="M36" s="21" t="n"/>
      <x:c r="N36" s="21" t="n"/>
      <x:c r="O36" s="21" t="n"/>
      <x:c r="P36" s="21" t="n"/>
      <x:c r="Q36" s="21" t="n"/>
      <x:c r="R36" s="21" t="n"/>
      <x:c r="S36" s="21" t="n"/>
      <x:c r="T36" s="23" t="n"/>
      <x:c r="U36" s="24">
        <x:f>IF($A36="","",IF(OR($L36="Gap",$L36="Question"),"Red flag",IF(OR($J36="",$H36="",$I36=""),"Needs action",IF(AND($L36="Comply",$M36="Final",$P36&lt;&gt;"",$Q36&lt;&gt;""),"Closed","Review"))))</x:f>
      </x:c>
    </x:row>
    <x:row r="37" ht="26" customHeight="1">
      <x:c r="A37" s="21" t="n"/>
      <x:c r="B37" s="22" t="n"/>
      <x:c r="C37" s="21" t="n"/>
      <x:c r="D37" s="21" t="n"/>
      <x:c r="E37" s="23" t="n"/>
      <x:c r="F37" s="21" t="n"/>
      <x:c r="G37" s="21" t="n"/>
      <x:c r="H37" s="21" t="n"/>
      <x:c r="I37" s="21" t="n"/>
      <x:c r="J37" s="21" t="n"/>
      <x:c r="K37" s="21" t="n"/>
      <x:c r="L37" s="21" t="n"/>
      <x:c r="M37" s="21" t="n"/>
      <x:c r="N37" s="21" t="n"/>
      <x:c r="O37" s="21" t="n"/>
      <x:c r="P37" s="21" t="n"/>
      <x:c r="Q37" s="21" t="n"/>
      <x:c r="R37" s="21" t="n"/>
      <x:c r="S37" s="21" t="n"/>
      <x:c r="T37" s="23" t="n"/>
      <x:c r="U37" s="24">
        <x:f>IF($A37="","",IF(OR($L37="Gap",$L37="Question"),"Red flag",IF(OR($J37="",$H37="",$I37=""),"Needs action",IF(AND($L37="Comply",$M37="Final",$P37&lt;&gt;"",$Q37&lt;&gt;""),"Closed","Review"))))</x:f>
      </x:c>
    </x:row>
    <x:row r="38" ht="26" customHeight="1">
      <x:c r="A38" s="21" t="n"/>
      <x:c r="B38" s="22" t="n"/>
      <x:c r="C38" s="21" t="n"/>
      <x:c r="D38" s="21" t="n"/>
      <x:c r="E38" s="23" t="n"/>
      <x:c r="F38" s="21" t="n"/>
      <x:c r="G38" s="21" t="n"/>
      <x:c r="H38" s="21" t="n"/>
      <x:c r="I38" s="21" t="n"/>
      <x:c r="J38" s="21" t="n"/>
      <x:c r="K38" s="21" t="n"/>
      <x:c r="L38" s="21" t="n"/>
      <x:c r="M38" s="21" t="n"/>
      <x:c r="N38" s="21" t="n"/>
      <x:c r="O38" s="21" t="n"/>
      <x:c r="P38" s="21" t="n"/>
      <x:c r="Q38" s="21" t="n"/>
      <x:c r="R38" s="21" t="n"/>
      <x:c r="S38" s="21" t="n"/>
      <x:c r="T38" s="23" t="n"/>
      <x:c r="U38" s="24">
        <x:f>IF($A38="","",IF(OR($L38="Gap",$L38="Question"),"Red flag",IF(OR($J38="",$H38="",$I38=""),"Needs action",IF(AND($L38="Comply",$M38="Final",$P38&lt;&gt;"",$Q38&lt;&gt;""),"Closed","Review"))))</x:f>
      </x:c>
    </x:row>
    <x:row r="39" ht="26" customHeight="1">
      <x:c r="A39" s="21" t="n"/>
      <x:c r="B39" s="22" t="n"/>
      <x:c r="C39" s="21" t="n"/>
      <x:c r="D39" s="21" t="n"/>
      <x:c r="E39" s="23" t="n"/>
      <x:c r="F39" s="21" t="n"/>
      <x:c r="G39" s="21" t="n"/>
      <x:c r="H39" s="21" t="n"/>
      <x:c r="I39" s="21" t="n"/>
      <x:c r="J39" s="21" t="n"/>
      <x:c r="K39" s="21" t="n"/>
      <x:c r="L39" s="21" t="n"/>
      <x:c r="M39" s="21" t="n"/>
      <x:c r="N39" s="21" t="n"/>
      <x:c r="O39" s="21" t="n"/>
      <x:c r="P39" s="21" t="n"/>
      <x:c r="Q39" s="21" t="n"/>
      <x:c r="R39" s="21" t="n"/>
      <x:c r="S39" s="21" t="n"/>
      <x:c r="T39" s="23" t="n"/>
      <x:c r="U39" s="24">
        <x:f>IF($A39="","",IF(OR($L39="Gap",$L39="Question"),"Red flag",IF(OR($J39="",$H39="",$I39=""),"Needs action",IF(AND($L39="Comply",$M39="Final",$P39&lt;&gt;"",$Q39&lt;&gt;""),"Closed","Review"))))</x:f>
      </x:c>
    </x:row>
    <x:row r="40" ht="26" customHeight="1">
      <x:c r="A40" s="21" t="n"/>
      <x:c r="B40" s="22" t="n"/>
      <x:c r="C40" s="21" t="n"/>
      <x:c r="D40" s="21" t="n"/>
      <x:c r="E40" s="23" t="n"/>
      <x:c r="F40" s="21" t="n"/>
      <x:c r="G40" s="21" t="n"/>
      <x:c r="H40" s="21" t="n"/>
      <x:c r="I40" s="21" t="n"/>
      <x:c r="J40" s="21" t="n"/>
      <x:c r="K40" s="21" t="n"/>
      <x:c r="L40" s="21" t="n"/>
      <x:c r="M40" s="21" t="n"/>
      <x:c r="N40" s="21" t="n"/>
      <x:c r="O40" s="21" t="n"/>
      <x:c r="P40" s="21" t="n"/>
      <x:c r="Q40" s="21" t="n"/>
      <x:c r="R40" s="21" t="n"/>
      <x:c r="S40" s="21" t="n"/>
      <x:c r="T40" s="23" t="n"/>
      <x:c r="U40" s="24">
        <x:f>IF($A40="","",IF(OR($L40="Gap",$L40="Question"),"Red flag",IF(OR($J40="",$H40="",$I40=""),"Needs action",IF(AND($L40="Comply",$M40="Final",$P40&lt;&gt;"",$Q40&lt;&gt;""),"Closed","Review"))))</x:f>
      </x:c>
    </x:row>
    <x:row r="41" ht="26" customHeight="1">
      <x:c r="A41" s="21" t="n"/>
      <x:c r="B41" s="22" t="n"/>
      <x:c r="C41" s="21" t="n"/>
      <x:c r="D41" s="21" t="n"/>
      <x:c r="E41" s="23" t="n"/>
      <x:c r="F41" s="21" t="n"/>
      <x:c r="G41" s="21" t="n"/>
      <x:c r="H41" s="21" t="n"/>
      <x:c r="I41" s="21" t="n"/>
      <x:c r="J41" s="21" t="n"/>
      <x:c r="K41" s="21" t="n"/>
      <x:c r="L41" s="21" t="n"/>
      <x:c r="M41" s="21" t="n"/>
      <x:c r="N41" s="21" t="n"/>
      <x:c r="O41" s="21" t="n"/>
      <x:c r="P41" s="21" t="n"/>
      <x:c r="Q41" s="21" t="n"/>
      <x:c r="R41" s="21" t="n"/>
      <x:c r="S41" s="21" t="n"/>
      <x:c r="T41" s="23" t="n"/>
      <x:c r="U41" s="24">
        <x:f>IF($A41="","",IF(OR($L41="Gap",$L41="Question"),"Red flag",IF(OR($J41="",$H41="",$I41=""),"Needs action",IF(AND($L41="Comply",$M41="Final",$P41&lt;&gt;"",$Q41&lt;&gt;""),"Closed","Review"))))</x:f>
      </x:c>
    </x:row>
    <x:row r="42" ht="26" customHeight="1">
      <x:c r="A42" s="21" t="n"/>
      <x:c r="B42" s="22" t="n"/>
      <x:c r="C42" s="21" t="n"/>
      <x:c r="D42" s="21" t="n"/>
      <x:c r="E42" s="23" t="n"/>
      <x:c r="F42" s="21" t="n"/>
      <x:c r="G42" s="21" t="n"/>
      <x:c r="H42" s="21" t="n"/>
      <x:c r="I42" s="21" t="n"/>
      <x:c r="J42" s="21" t="n"/>
      <x:c r="K42" s="21" t="n"/>
      <x:c r="L42" s="21" t="n"/>
      <x:c r="M42" s="21" t="n"/>
      <x:c r="N42" s="21" t="n"/>
      <x:c r="O42" s="21" t="n"/>
      <x:c r="P42" s="21" t="n"/>
      <x:c r="Q42" s="21" t="n"/>
      <x:c r="R42" s="21" t="n"/>
      <x:c r="S42" s="21" t="n"/>
      <x:c r="T42" s="23" t="n"/>
      <x:c r="U42" s="24">
        <x:f>IF($A42="","",IF(OR($L42="Gap",$L42="Question"),"Red flag",IF(OR($J42="",$H42="",$I42=""),"Needs action",IF(AND($L42="Comply",$M42="Final",$P42&lt;&gt;"",$Q42&lt;&gt;""),"Closed","Review"))))</x:f>
      </x:c>
    </x:row>
    <x:row r="43" ht="26" customHeight="1">
      <x:c r="A43" s="21" t="n"/>
      <x:c r="B43" s="22" t="n"/>
      <x:c r="C43" s="21" t="n"/>
      <x:c r="D43" s="21" t="n"/>
      <x:c r="E43" s="23" t="n"/>
      <x:c r="F43" s="21" t="n"/>
      <x:c r="G43" s="21" t="n"/>
      <x:c r="H43" s="21" t="n"/>
      <x:c r="I43" s="21" t="n"/>
      <x:c r="J43" s="21" t="n"/>
      <x:c r="K43" s="21" t="n"/>
      <x:c r="L43" s="21" t="n"/>
      <x:c r="M43" s="21" t="n"/>
      <x:c r="N43" s="21" t="n"/>
      <x:c r="O43" s="21" t="n"/>
      <x:c r="P43" s="21" t="n"/>
      <x:c r="Q43" s="21" t="n"/>
      <x:c r="R43" s="21" t="n"/>
      <x:c r="S43" s="21" t="n"/>
      <x:c r="T43" s="23" t="n"/>
      <x:c r="U43" s="24">
        <x:f>IF($A43="","",IF(OR($L43="Gap",$L43="Question"),"Red flag",IF(OR($J43="",$H43="",$I43=""),"Needs action",IF(AND($L43="Comply",$M43="Final",$P43&lt;&gt;"",$Q43&lt;&gt;""),"Closed","Review"))))</x:f>
      </x:c>
    </x:row>
    <x:row r="44" ht="26" customHeight="1">
      <x:c r="A44" s="21" t="n"/>
      <x:c r="B44" s="22" t="n"/>
      <x:c r="C44" s="21" t="n"/>
      <x:c r="D44" s="21" t="n"/>
      <x:c r="E44" s="23" t="n"/>
      <x:c r="F44" s="21" t="n"/>
      <x:c r="G44" s="21" t="n"/>
      <x:c r="H44" s="21" t="n"/>
      <x:c r="I44" s="21" t="n"/>
      <x:c r="J44" s="21" t="n"/>
      <x:c r="K44" s="21" t="n"/>
      <x:c r="L44" s="21" t="n"/>
      <x:c r="M44" s="21" t="n"/>
      <x:c r="N44" s="21" t="n"/>
      <x:c r="O44" s="21" t="n"/>
      <x:c r="P44" s="21" t="n"/>
      <x:c r="Q44" s="21" t="n"/>
      <x:c r="R44" s="21" t="n"/>
      <x:c r="S44" s="21" t="n"/>
      <x:c r="T44" s="23" t="n"/>
      <x:c r="U44" s="24">
        <x:f>IF($A44="","",IF(OR($L44="Gap",$L44="Question"),"Red flag",IF(OR($J44="",$H44="",$I44=""),"Needs action",IF(AND($L44="Comply",$M44="Final",$P44&lt;&gt;"",$Q44&lt;&gt;""),"Closed","Review"))))</x:f>
      </x:c>
    </x:row>
    <x:row r="45" ht="26" customHeight="1">
      <x:c r="A45" s="21" t="n"/>
      <x:c r="B45" s="22" t="n"/>
      <x:c r="C45" s="21" t="n"/>
      <x:c r="D45" s="21" t="n"/>
      <x:c r="E45" s="23" t="n"/>
      <x:c r="F45" s="21" t="n"/>
      <x:c r="G45" s="21" t="n"/>
      <x:c r="H45" s="21" t="n"/>
      <x:c r="I45" s="21" t="n"/>
      <x:c r="J45" s="21" t="n"/>
      <x:c r="K45" s="21" t="n"/>
      <x:c r="L45" s="21" t="n"/>
      <x:c r="M45" s="21" t="n"/>
      <x:c r="N45" s="21" t="n"/>
      <x:c r="O45" s="21" t="n"/>
      <x:c r="P45" s="21" t="n"/>
      <x:c r="Q45" s="21" t="n"/>
      <x:c r="R45" s="21" t="n"/>
      <x:c r="S45" s="21" t="n"/>
      <x:c r="T45" s="23" t="n"/>
      <x:c r="U45" s="24">
        <x:f>IF($A45="","",IF(OR($L45="Gap",$L45="Question"),"Red flag",IF(OR($J45="",$H45="",$I45=""),"Needs action",IF(AND($L45="Comply",$M45="Final",$P45&lt;&gt;"",$Q45&lt;&gt;""),"Closed","Review"))))</x:f>
      </x:c>
    </x:row>
    <x:row r="46" ht="26" customHeight="1">
      <x:c r="A46" s="21" t="n"/>
      <x:c r="B46" s="22" t="n"/>
      <x:c r="C46" s="21" t="n"/>
      <x:c r="D46" s="21" t="n"/>
      <x:c r="E46" s="23" t="n"/>
      <x:c r="F46" s="21" t="n"/>
      <x:c r="G46" s="21" t="n"/>
      <x:c r="H46" s="21" t="n"/>
      <x:c r="I46" s="21" t="n"/>
      <x:c r="J46" s="21" t="n"/>
      <x:c r="K46" s="21" t="n"/>
      <x:c r="L46" s="21" t="n"/>
      <x:c r="M46" s="21" t="n"/>
      <x:c r="N46" s="21" t="n"/>
      <x:c r="O46" s="21" t="n"/>
      <x:c r="P46" s="21" t="n"/>
      <x:c r="Q46" s="21" t="n"/>
      <x:c r="R46" s="21" t="n"/>
      <x:c r="S46" s="21" t="n"/>
      <x:c r="T46" s="23" t="n"/>
      <x:c r="U46" s="24">
        <x:f>IF($A46="","",IF(OR($L46="Gap",$L46="Question"),"Red flag",IF(OR($J46="",$H46="",$I46=""),"Needs action",IF(AND($L46="Comply",$M46="Final",$P46&lt;&gt;"",$Q46&lt;&gt;""),"Closed","Review"))))</x:f>
      </x:c>
    </x:row>
    <x:row r="47" ht="26" customHeight="1">
      <x:c r="A47" s="21" t="n"/>
      <x:c r="B47" s="22" t="n"/>
      <x:c r="C47" s="21" t="n"/>
      <x:c r="D47" s="21" t="n"/>
      <x:c r="E47" s="23" t="n"/>
      <x:c r="F47" s="21" t="n"/>
      <x:c r="G47" s="21" t="n"/>
      <x:c r="H47" s="21" t="n"/>
      <x:c r="I47" s="21" t="n"/>
      <x:c r="J47" s="21" t="n"/>
      <x:c r="K47" s="21" t="n"/>
      <x:c r="L47" s="21" t="n"/>
      <x:c r="M47" s="21" t="n"/>
      <x:c r="N47" s="21" t="n"/>
      <x:c r="O47" s="21" t="n"/>
      <x:c r="P47" s="21" t="n"/>
      <x:c r="Q47" s="21" t="n"/>
      <x:c r="R47" s="21" t="n"/>
      <x:c r="S47" s="21" t="n"/>
      <x:c r="T47" s="23" t="n"/>
      <x:c r="U47" s="24">
        <x:f>IF($A47="","",IF(OR($L47="Gap",$L47="Question"),"Red flag",IF(OR($J47="",$H47="",$I47=""),"Needs action",IF(AND($L47="Comply",$M47="Final",$P47&lt;&gt;"",$Q47&lt;&gt;""),"Closed","Review"))))</x:f>
      </x:c>
    </x:row>
    <x:row r="48" ht="26" customHeight="1">
      <x:c r="A48" s="21" t="n"/>
      <x:c r="B48" s="22" t="n"/>
      <x:c r="C48" s="21" t="n"/>
      <x:c r="D48" s="21" t="n"/>
      <x:c r="E48" s="23" t="n"/>
      <x:c r="F48" s="21" t="n"/>
      <x:c r="G48" s="21" t="n"/>
      <x:c r="H48" s="21" t="n"/>
      <x:c r="I48" s="21" t="n"/>
      <x:c r="J48" s="21" t="n"/>
      <x:c r="K48" s="21" t="n"/>
      <x:c r="L48" s="21" t="n"/>
      <x:c r="M48" s="21" t="n"/>
      <x:c r="N48" s="21" t="n"/>
      <x:c r="O48" s="21" t="n"/>
      <x:c r="P48" s="21" t="n"/>
      <x:c r="Q48" s="21" t="n"/>
      <x:c r="R48" s="21" t="n"/>
      <x:c r="S48" s="21" t="n"/>
      <x:c r="T48" s="23" t="n"/>
      <x:c r="U48" s="24">
        <x:f>IF($A48="","",IF(OR($L48="Gap",$L48="Question"),"Red flag",IF(OR($J48="",$H48="",$I48=""),"Needs action",IF(AND($L48="Comply",$M48="Final",$P48&lt;&gt;"",$Q48&lt;&gt;""),"Closed","Review"))))</x:f>
      </x:c>
    </x:row>
    <x:row r="49" ht="26" customHeight="1">
      <x:c r="A49" s="21" t="n"/>
      <x:c r="B49" s="22" t="n"/>
      <x:c r="C49" s="21" t="n"/>
      <x:c r="D49" s="21" t="n"/>
      <x:c r="E49" s="23" t="n"/>
      <x:c r="F49" s="21" t="n"/>
      <x:c r="G49" s="21" t="n"/>
      <x:c r="H49" s="21" t="n"/>
      <x:c r="I49" s="21" t="n"/>
      <x:c r="J49" s="21" t="n"/>
      <x:c r="K49" s="21" t="n"/>
      <x:c r="L49" s="21" t="n"/>
      <x:c r="M49" s="21" t="n"/>
      <x:c r="N49" s="21" t="n"/>
      <x:c r="O49" s="21" t="n"/>
      <x:c r="P49" s="21" t="n"/>
      <x:c r="Q49" s="21" t="n"/>
      <x:c r="R49" s="21" t="n"/>
      <x:c r="S49" s="21" t="n"/>
      <x:c r="T49" s="23" t="n"/>
      <x:c r="U49" s="24">
        <x:f>IF($A49="","",IF(OR($L49="Gap",$L49="Question"),"Red flag",IF(OR($J49="",$H49="",$I49=""),"Needs action",IF(AND($L49="Comply",$M49="Final",$P49&lt;&gt;"",$Q49&lt;&gt;""),"Closed","Review"))))</x:f>
      </x:c>
    </x:row>
    <x:row r="50" ht="26" customHeight="1">
      <x:c r="A50" s="21" t="n"/>
      <x:c r="B50" s="22" t="n"/>
      <x:c r="C50" s="21" t="n"/>
      <x:c r="D50" s="21" t="n"/>
      <x:c r="E50" s="23" t="n"/>
      <x:c r="F50" s="21" t="n"/>
      <x:c r="G50" s="21" t="n"/>
      <x:c r="H50" s="21" t="n"/>
      <x:c r="I50" s="21" t="n"/>
      <x:c r="J50" s="21" t="n"/>
      <x:c r="K50" s="21" t="n"/>
      <x:c r="L50" s="21" t="n"/>
      <x:c r="M50" s="21" t="n"/>
      <x:c r="N50" s="21" t="n"/>
      <x:c r="O50" s="21" t="n"/>
      <x:c r="P50" s="21" t="n"/>
      <x:c r="Q50" s="21" t="n"/>
      <x:c r="R50" s="21" t="n"/>
      <x:c r="S50" s="21" t="n"/>
      <x:c r="T50" s="23" t="n"/>
      <x:c r="U50" s="24">
        <x:f>IF($A50="","",IF(OR($L50="Gap",$L50="Question"),"Red flag",IF(OR($J50="",$H50="",$I50=""),"Needs action",IF(AND($L50="Comply",$M50="Final",$P50&lt;&gt;"",$Q50&lt;&gt;""),"Closed","Review"))))</x:f>
      </x:c>
    </x:row>
    <x:row r="51" ht="26" customHeight="1">
      <x:c r="A51" s="21" t="n"/>
      <x:c r="B51" s="22" t="n"/>
      <x:c r="C51" s="21" t="n"/>
      <x:c r="D51" s="21" t="n"/>
      <x:c r="E51" s="23" t="n"/>
      <x:c r="F51" s="21" t="n"/>
      <x:c r="G51" s="21" t="n"/>
      <x:c r="H51" s="21" t="n"/>
      <x:c r="I51" s="21" t="n"/>
      <x:c r="J51" s="21" t="n"/>
      <x:c r="K51" s="21" t="n"/>
      <x:c r="L51" s="21" t="n"/>
      <x:c r="M51" s="21" t="n"/>
      <x:c r="N51" s="21" t="n"/>
      <x:c r="O51" s="21" t="n"/>
      <x:c r="P51" s="21" t="n"/>
      <x:c r="Q51" s="21" t="n"/>
      <x:c r="R51" s="21" t="n"/>
      <x:c r="S51" s="21" t="n"/>
      <x:c r="T51" s="23" t="n"/>
      <x:c r="U51" s="24">
        <x:f>IF($A51="","",IF(OR($L51="Gap",$L51="Question"),"Red flag",IF(OR($J51="",$H51="",$I51=""),"Needs action",IF(AND($L51="Comply",$M51="Final",$P51&lt;&gt;"",$Q51&lt;&gt;""),"Closed","Review"))))</x:f>
      </x:c>
    </x:row>
    <x:row r="52" ht="26" customHeight="1">
      <x:c r="A52" s="21" t="n"/>
      <x:c r="B52" s="22" t="n"/>
      <x:c r="C52" s="21" t="n"/>
      <x:c r="D52" s="21" t="n"/>
      <x:c r="E52" s="23" t="n"/>
      <x:c r="F52" s="21" t="n"/>
      <x:c r="G52" s="21" t="n"/>
      <x:c r="H52" s="21" t="n"/>
      <x:c r="I52" s="21" t="n"/>
      <x:c r="J52" s="21" t="n"/>
      <x:c r="K52" s="21" t="n"/>
      <x:c r="L52" s="21" t="n"/>
      <x:c r="M52" s="21" t="n"/>
      <x:c r="N52" s="21" t="n"/>
      <x:c r="O52" s="21" t="n"/>
      <x:c r="P52" s="21" t="n"/>
      <x:c r="Q52" s="21" t="n"/>
      <x:c r="R52" s="21" t="n"/>
      <x:c r="S52" s="21" t="n"/>
      <x:c r="T52" s="23" t="n"/>
      <x:c r="U52" s="24">
        <x:f>IF($A52="","",IF(OR($L52="Gap",$L52="Question"),"Red flag",IF(OR($J52="",$H52="",$I52=""),"Needs action",IF(AND($L52="Comply",$M52="Final",$P52&lt;&gt;"",$Q52&lt;&gt;""),"Closed","Review"))))</x:f>
      </x:c>
    </x:row>
    <x:row r="53" ht="26" customHeight="1">
      <x:c r="A53" s="21" t="n"/>
      <x:c r="B53" s="22" t="n"/>
      <x:c r="C53" s="21" t="n"/>
      <x:c r="D53" s="21" t="n"/>
      <x:c r="E53" s="23" t="n"/>
      <x:c r="F53" s="21" t="n"/>
      <x:c r="G53" s="21" t="n"/>
      <x:c r="H53" s="21" t="n"/>
      <x:c r="I53" s="21" t="n"/>
      <x:c r="J53" s="21" t="n"/>
      <x:c r="K53" s="21" t="n"/>
      <x:c r="L53" s="21" t="n"/>
      <x:c r="M53" s="21" t="n"/>
      <x:c r="N53" s="21" t="n"/>
      <x:c r="O53" s="21" t="n"/>
      <x:c r="P53" s="21" t="n"/>
      <x:c r="Q53" s="21" t="n"/>
      <x:c r="R53" s="21" t="n"/>
      <x:c r="S53" s="21" t="n"/>
      <x:c r="T53" s="23" t="n"/>
      <x:c r="U53" s="24">
        <x:f>IF($A53="","",IF(OR($L53="Gap",$L53="Question"),"Red flag",IF(OR($J53="",$H53="",$I53=""),"Needs action",IF(AND($L53="Comply",$M53="Final",$P53&lt;&gt;"",$Q53&lt;&gt;""),"Closed","Review"))))</x:f>
      </x:c>
    </x:row>
    <x:row r="54" ht="26" customHeight="1">
      <x:c r="A54" s="21" t="n"/>
      <x:c r="B54" s="22" t="n"/>
      <x:c r="C54" s="21" t="n"/>
      <x:c r="D54" s="21" t="n"/>
      <x:c r="E54" s="23" t="n"/>
      <x:c r="F54" s="21" t="n"/>
      <x:c r="G54" s="21" t="n"/>
      <x:c r="H54" s="21" t="n"/>
      <x:c r="I54" s="21" t="n"/>
      <x:c r="J54" s="21" t="n"/>
      <x:c r="K54" s="21" t="n"/>
      <x:c r="L54" s="21" t="n"/>
      <x:c r="M54" s="21" t="n"/>
      <x:c r="N54" s="21" t="n"/>
      <x:c r="O54" s="21" t="n"/>
      <x:c r="P54" s="21" t="n"/>
      <x:c r="Q54" s="21" t="n"/>
      <x:c r="R54" s="21" t="n"/>
      <x:c r="S54" s="21" t="n"/>
      <x:c r="T54" s="23" t="n"/>
      <x:c r="U54" s="24">
        <x:f>IF($A54="","",IF(OR($L54="Gap",$L54="Question"),"Red flag",IF(OR($J54="",$H54="",$I54=""),"Needs action",IF(AND($L54="Comply",$M54="Final",$P54&lt;&gt;"",$Q54&lt;&gt;""),"Closed","Review"))))</x:f>
      </x:c>
    </x:row>
    <x:row r="55" ht="26" customHeight="1">
      <x:c r="A55" s="21" t="n"/>
      <x:c r="B55" s="22" t="n"/>
      <x:c r="C55" s="21" t="n"/>
      <x:c r="D55" s="21" t="n"/>
      <x:c r="E55" s="23" t="n"/>
      <x:c r="F55" s="21" t="n"/>
      <x:c r="G55" s="21" t="n"/>
      <x:c r="H55" s="21" t="n"/>
      <x:c r="I55" s="21" t="n"/>
      <x:c r="J55" s="21" t="n"/>
      <x:c r="K55" s="21" t="n"/>
      <x:c r="L55" s="21" t="n"/>
      <x:c r="M55" s="21" t="n"/>
      <x:c r="N55" s="21" t="n"/>
      <x:c r="O55" s="21" t="n"/>
      <x:c r="P55" s="21" t="n"/>
      <x:c r="Q55" s="21" t="n"/>
      <x:c r="R55" s="21" t="n"/>
      <x:c r="S55" s="21" t="n"/>
      <x:c r="T55" s="23" t="n"/>
      <x:c r="U55" s="24">
        <x:f>IF($A55="","",IF(OR($L55="Gap",$L55="Question"),"Red flag",IF(OR($J55="",$H55="",$I55=""),"Needs action",IF(AND($L55="Comply",$M55="Final",$P55&lt;&gt;"",$Q55&lt;&gt;""),"Closed","Review"))))</x:f>
      </x:c>
    </x:row>
    <x:row r="56" ht="26" customHeight="1">
      <x:c r="A56" s="21" t="n"/>
      <x:c r="B56" s="22" t="n"/>
      <x:c r="C56" s="21" t="n"/>
      <x:c r="D56" s="21" t="n"/>
      <x:c r="E56" s="23" t="n"/>
      <x:c r="F56" s="21" t="n"/>
      <x:c r="G56" s="21" t="n"/>
      <x:c r="H56" s="21" t="n"/>
      <x:c r="I56" s="21" t="n"/>
      <x:c r="J56" s="21" t="n"/>
      <x:c r="K56" s="21" t="n"/>
      <x:c r="L56" s="21" t="n"/>
      <x:c r="M56" s="21" t="n"/>
      <x:c r="N56" s="21" t="n"/>
      <x:c r="O56" s="21" t="n"/>
      <x:c r="P56" s="21" t="n"/>
      <x:c r="Q56" s="21" t="n"/>
      <x:c r="R56" s="21" t="n"/>
      <x:c r="S56" s="21" t="n"/>
      <x:c r="T56" s="23" t="n"/>
      <x:c r="U56" s="24">
        <x:f>IF($A56="","",IF(OR($L56="Gap",$L56="Question"),"Red flag",IF(OR($J56="",$H56="",$I56=""),"Needs action",IF(AND($L56="Comply",$M56="Final",$P56&lt;&gt;"",$Q56&lt;&gt;""),"Closed","Review"))))</x:f>
      </x:c>
    </x:row>
    <x:row r="57" ht="26" customHeight="1">
      <x:c r="A57" s="21" t="n"/>
      <x:c r="B57" s="22" t="n"/>
      <x:c r="C57" s="21" t="n"/>
      <x:c r="D57" s="21" t="n"/>
      <x:c r="E57" s="23" t="n"/>
      <x:c r="F57" s="21" t="n"/>
      <x:c r="G57" s="21" t="n"/>
      <x:c r="H57" s="21" t="n"/>
      <x:c r="I57" s="21" t="n"/>
      <x:c r="J57" s="21" t="n"/>
      <x:c r="K57" s="21" t="n"/>
      <x:c r="L57" s="21" t="n"/>
      <x:c r="M57" s="21" t="n"/>
      <x:c r="N57" s="21" t="n"/>
      <x:c r="O57" s="21" t="n"/>
      <x:c r="P57" s="21" t="n"/>
      <x:c r="Q57" s="21" t="n"/>
      <x:c r="R57" s="21" t="n"/>
      <x:c r="S57" s="21" t="n"/>
      <x:c r="T57" s="23" t="n"/>
      <x:c r="U57" s="24">
        <x:f>IF($A57="","",IF(OR($L57="Gap",$L57="Question"),"Red flag",IF(OR($J57="",$H57="",$I57=""),"Needs action",IF(AND($L57="Comply",$M57="Final",$P57&lt;&gt;"",$Q57&lt;&gt;""),"Closed","Review"))))</x:f>
      </x:c>
    </x:row>
    <x:row r="58" ht="26" customHeight="1">
      <x:c r="A58" s="21" t="n"/>
      <x:c r="B58" s="22" t="n"/>
      <x:c r="C58" s="21" t="n"/>
      <x:c r="D58" s="21" t="n"/>
      <x:c r="E58" s="23" t="n"/>
      <x:c r="F58" s="21" t="n"/>
      <x:c r="G58" s="21" t="n"/>
      <x:c r="H58" s="21" t="n"/>
      <x:c r="I58" s="21" t="n"/>
      <x:c r="J58" s="21" t="n"/>
      <x:c r="K58" s="21" t="n"/>
      <x:c r="L58" s="21" t="n"/>
      <x:c r="M58" s="21" t="n"/>
      <x:c r="N58" s="21" t="n"/>
      <x:c r="O58" s="21" t="n"/>
      <x:c r="P58" s="21" t="n"/>
      <x:c r="Q58" s="21" t="n"/>
      <x:c r="R58" s="21" t="n"/>
      <x:c r="S58" s="21" t="n"/>
      <x:c r="T58" s="23" t="n"/>
      <x:c r="U58" s="24">
        <x:f>IF($A58="","",IF(OR($L58="Gap",$L58="Question"),"Red flag",IF(OR($J58="",$H58="",$I58=""),"Needs action",IF(AND($L58="Comply",$M58="Final",$P58&lt;&gt;"",$Q58&lt;&gt;""),"Closed","Review"))))</x:f>
      </x:c>
    </x:row>
    <x:row r="59" ht="26" customHeight="1">
      <x:c r="A59" s="21" t="n"/>
      <x:c r="B59" s="22" t="n"/>
      <x:c r="C59" s="21" t="n"/>
      <x:c r="D59" s="21" t="n"/>
      <x:c r="E59" s="23" t="n"/>
      <x:c r="F59" s="21" t="n"/>
      <x:c r="G59" s="21" t="n"/>
      <x:c r="H59" s="21" t="n"/>
      <x:c r="I59" s="21" t="n"/>
      <x:c r="J59" s="21" t="n"/>
      <x:c r="K59" s="21" t="n"/>
      <x:c r="L59" s="21" t="n"/>
      <x:c r="M59" s="21" t="n"/>
      <x:c r="N59" s="21" t="n"/>
      <x:c r="O59" s="21" t="n"/>
      <x:c r="P59" s="21" t="n"/>
      <x:c r="Q59" s="21" t="n"/>
      <x:c r="R59" s="21" t="n"/>
      <x:c r="S59" s="21" t="n"/>
      <x:c r="T59" s="23" t="n"/>
      <x:c r="U59" s="24">
        <x:f>IF($A59="","",IF(OR($L59="Gap",$L59="Question"),"Red flag",IF(OR($J59="",$H59="",$I59=""),"Needs action",IF(AND($L59="Comply",$M59="Final",$P59&lt;&gt;"",$Q59&lt;&gt;""),"Closed","Review"))))</x:f>
      </x:c>
    </x:row>
    <x:row r="60" ht="26" customHeight="1">
      <x:c r="A60" s="21" t="n"/>
      <x:c r="B60" s="22" t="n"/>
      <x:c r="C60" s="21" t="n"/>
      <x:c r="D60" s="21" t="n"/>
      <x:c r="E60" s="23" t="n"/>
      <x:c r="F60" s="21" t="n"/>
      <x:c r="G60" s="21" t="n"/>
      <x:c r="H60" s="21" t="n"/>
      <x:c r="I60" s="21" t="n"/>
      <x:c r="J60" s="21" t="n"/>
      <x:c r="K60" s="21" t="n"/>
      <x:c r="L60" s="21" t="n"/>
      <x:c r="M60" s="21" t="n"/>
      <x:c r="N60" s="21" t="n"/>
      <x:c r="O60" s="21" t="n"/>
      <x:c r="P60" s="21" t="n"/>
      <x:c r="Q60" s="21" t="n"/>
      <x:c r="R60" s="21" t="n"/>
      <x:c r="S60" s="21" t="n"/>
      <x:c r="T60" s="23" t="n"/>
      <x:c r="U60" s="24">
        <x:f>IF($A60="","",IF(OR($L60="Gap",$L60="Question"),"Red flag",IF(OR($J60="",$H60="",$I60=""),"Needs action",IF(AND($L60="Comply",$M60="Final",$P60&lt;&gt;"",$Q60&lt;&gt;""),"Closed","Review"))))</x:f>
      </x:c>
    </x:row>
    <x:row r="61" ht="26" customHeight="1">
      <x:c r="A61" s="21" t="n"/>
      <x:c r="B61" s="22" t="n"/>
      <x:c r="C61" s="21" t="n"/>
      <x:c r="D61" s="21" t="n"/>
      <x:c r="E61" s="23" t="n"/>
      <x:c r="F61" s="21" t="n"/>
      <x:c r="G61" s="21" t="n"/>
      <x:c r="H61" s="21" t="n"/>
      <x:c r="I61" s="21" t="n"/>
      <x:c r="J61" s="21" t="n"/>
      <x:c r="K61" s="21" t="n"/>
      <x:c r="L61" s="21" t="n"/>
      <x:c r="M61" s="21" t="n"/>
      <x:c r="N61" s="21" t="n"/>
      <x:c r="O61" s="21" t="n"/>
      <x:c r="P61" s="21" t="n"/>
      <x:c r="Q61" s="21" t="n"/>
      <x:c r="R61" s="21" t="n"/>
      <x:c r="S61" s="21" t="n"/>
      <x:c r="T61" s="23" t="n"/>
      <x:c r="U61" s="24">
        <x:f>IF($A61="","",IF(OR($L61="Gap",$L61="Question"),"Red flag",IF(OR($J61="",$H61="",$I61=""),"Needs action",IF(AND($L61="Comply",$M61="Final",$P61&lt;&gt;"",$Q61&lt;&gt;""),"Closed","Review"))))</x:f>
      </x:c>
    </x:row>
    <x:row r="62" ht="26" customHeight="1">
      <x:c r="A62" s="21" t="n"/>
      <x:c r="B62" s="22" t="n"/>
      <x:c r="C62" s="21" t="n"/>
      <x:c r="D62" s="21" t="n"/>
      <x:c r="E62" s="23" t="n"/>
      <x:c r="F62" s="21" t="n"/>
      <x:c r="G62" s="21" t="n"/>
      <x:c r="H62" s="21" t="n"/>
      <x:c r="I62" s="21" t="n"/>
      <x:c r="J62" s="21" t="n"/>
      <x:c r="K62" s="21" t="n"/>
      <x:c r="L62" s="21" t="n"/>
      <x:c r="M62" s="21" t="n"/>
      <x:c r="N62" s="21" t="n"/>
      <x:c r="O62" s="21" t="n"/>
      <x:c r="P62" s="21" t="n"/>
      <x:c r="Q62" s="21" t="n"/>
      <x:c r="R62" s="21" t="n"/>
      <x:c r="S62" s="21" t="n"/>
      <x:c r="T62" s="23" t="n"/>
      <x:c r="U62" s="24">
        <x:f>IF($A62="","",IF(OR($L62="Gap",$L62="Question"),"Red flag",IF(OR($J62="",$H62="",$I62=""),"Needs action",IF(AND($L62="Comply",$M62="Final",$P62&lt;&gt;"",$Q62&lt;&gt;""),"Closed","Review"))))</x:f>
      </x:c>
    </x:row>
    <x:row r="63" ht="26" customHeight="1">
      <x:c r="A63" s="21" t="n"/>
      <x:c r="B63" s="22" t="n"/>
      <x:c r="C63" s="21" t="n"/>
      <x:c r="D63" s="21" t="n"/>
      <x:c r="E63" s="23" t="n"/>
      <x:c r="F63" s="21" t="n"/>
      <x:c r="G63" s="21" t="n"/>
      <x:c r="H63" s="21" t="n"/>
      <x:c r="I63" s="21" t="n"/>
      <x:c r="J63" s="21" t="n"/>
      <x:c r="K63" s="21" t="n"/>
      <x:c r="L63" s="21" t="n"/>
      <x:c r="M63" s="21" t="n"/>
      <x:c r="N63" s="21" t="n"/>
      <x:c r="O63" s="21" t="n"/>
      <x:c r="P63" s="21" t="n"/>
      <x:c r="Q63" s="21" t="n"/>
      <x:c r="R63" s="21" t="n"/>
      <x:c r="S63" s="21" t="n"/>
      <x:c r="T63" s="23" t="n"/>
      <x:c r="U63" s="24">
        <x:f>IF($A63="","",IF(OR($L63="Gap",$L63="Question"),"Red flag",IF(OR($J63="",$H63="",$I63=""),"Needs action",IF(AND($L63="Comply",$M63="Final",$P63&lt;&gt;"",$Q63&lt;&gt;""),"Closed","Review"))))</x:f>
      </x:c>
    </x:row>
    <x:row r="64" ht="26" customHeight="1">
      <x:c r="A64" s="21" t="n"/>
      <x:c r="B64" s="22" t="n"/>
      <x:c r="C64" s="21" t="n"/>
      <x:c r="D64" s="21" t="n"/>
      <x:c r="E64" s="23" t="n"/>
      <x:c r="F64" s="21" t="n"/>
      <x:c r="G64" s="21" t="n"/>
      <x:c r="H64" s="21" t="n"/>
      <x:c r="I64" s="21" t="n"/>
      <x:c r="J64" s="21" t="n"/>
      <x:c r="K64" s="21" t="n"/>
      <x:c r="L64" s="21" t="n"/>
      <x:c r="M64" s="21" t="n"/>
      <x:c r="N64" s="21" t="n"/>
      <x:c r="O64" s="21" t="n"/>
      <x:c r="P64" s="21" t="n"/>
      <x:c r="Q64" s="21" t="n"/>
      <x:c r="R64" s="21" t="n"/>
      <x:c r="S64" s="21" t="n"/>
      <x:c r="T64" s="23" t="n"/>
      <x:c r="U64" s="24">
        <x:f>IF($A64="","",IF(OR($L64="Gap",$L64="Question"),"Red flag",IF(OR($J64="",$H64="",$I64=""),"Needs action",IF(AND($L64="Comply",$M64="Final",$P64&lt;&gt;"",$Q64&lt;&gt;""),"Closed","Review"))))</x:f>
      </x:c>
    </x:row>
    <x:row r="65" ht="26" customHeight="1">
      <x:c r="A65" s="21" t="n"/>
      <x:c r="B65" s="22" t="n"/>
      <x:c r="C65" s="21" t="n"/>
      <x:c r="D65" s="21" t="n"/>
      <x:c r="E65" s="23" t="n"/>
      <x:c r="F65" s="21" t="n"/>
      <x:c r="G65" s="21" t="n"/>
      <x:c r="H65" s="21" t="n"/>
      <x:c r="I65" s="21" t="n"/>
      <x:c r="J65" s="21" t="n"/>
      <x:c r="K65" s="21" t="n"/>
      <x:c r="L65" s="21" t="n"/>
      <x:c r="M65" s="21" t="n"/>
      <x:c r="N65" s="21" t="n"/>
      <x:c r="O65" s="21" t="n"/>
      <x:c r="P65" s="21" t="n"/>
      <x:c r="Q65" s="21" t="n"/>
      <x:c r="R65" s="21" t="n"/>
      <x:c r="S65" s="21" t="n"/>
      <x:c r="T65" s="23" t="n"/>
      <x:c r="U65" s="24">
        <x:f>IF($A65="","",IF(OR($L65="Gap",$L65="Question"),"Red flag",IF(OR($J65="",$H65="",$I65=""),"Needs action",IF(AND($L65="Comply",$M65="Final",$P65&lt;&gt;"",$Q65&lt;&gt;""),"Closed","Review"))))</x:f>
      </x:c>
    </x:row>
    <x:row r="66" ht="26" customHeight="1">
      <x:c r="A66" s="21" t="n"/>
      <x:c r="B66" s="22" t="n"/>
      <x:c r="C66" s="21" t="n"/>
      <x:c r="D66" s="21" t="n"/>
      <x:c r="E66" s="23" t="n"/>
      <x:c r="F66" s="21" t="n"/>
      <x:c r="G66" s="21" t="n"/>
      <x:c r="H66" s="21" t="n"/>
      <x:c r="I66" s="21" t="n"/>
      <x:c r="J66" s="21" t="n"/>
      <x:c r="K66" s="21" t="n"/>
      <x:c r="L66" s="21" t="n"/>
      <x:c r="M66" s="21" t="n"/>
      <x:c r="N66" s="21" t="n"/>
      <x:c r="O66" s="21" t="n"/>
      <x:c r="P66" s="21" t="n"/>
      <x:c r="Q66" s="21" t="n"/>
      <x:c r="R66" s="21" t="n"/>
      <x:c r="S66" s="21" t="n"/>
      <x:c r="T66" s="23" t="n"/>
      <x:c r="U66" s="24">
        <x:f>IF($A66="","",IF(OR($L66="Gap",$L66="Question"),"Red flag",IF(OR($J66="",$H66="",$I66=""),"Needs action",IF(AND($L66="Comply",$M66="Final",$P66&lt;&gt;"",$Q66&lt;&gt;""),"Closed","Review"))))</x:f>
      </x:c>
    </x:row>
    <x:row r="67" ht="26" customHeight="1">
      <x:c r="A67" s="21" t="n"/>
      <x:c r="B67" s="22" t="n"/>
      <x:c r="C67" s="21" t="n"/>
      <x:c r="D67" s="21" t="n"/>
      <x:c r="E67" s="23" t="n"/>
      <x:c r="F67" s="21" t="n"/>
      <x:c r="G67" s="21" t="n"/>
      <x:c r="H67" s="21" t="n"/>
      <x:c r="I67" s="21" t="n"/>
      <x:c r="J67" s="21" t="n"/>
      <x:c r="K67" s="21" t="n"/>
      <x:c r="L67" s="21" t="n"/>
      <x:c r="M67" s="21" t="n"/>
      <x:c r="N67" s="21" t="n"/>
      <x:c r="O67" s="21" t="n"/>
      <x:c r="P67" s="21" t="n"/>
      <x:c r="Q67" s="21" t="n"/>
      <x:c r="R67" s="21" t="n"/>
      <x:c r="S67" s="21" t="n"/>
      <x:c r="T67" s="23" t="n"/>
      <x:c r="U67" s="24">
        <x:f>IF($A67="","",IF(OR($L67="Gap",$L67="Question"),"Red flag",IF(OR($J67="",$H67="",$I67=""),"Needs action",IF(AND($L67="Comply",$M67="Final",$P67&lt;&gt;"",$Q67&lt;&gt;""),"Closed","Review"))))</x:f>
      </x:c>
    </x:row>
    <x:row r="68" ht="26" customHeight="1">
      <x:c r="A68" s="21" t="n"/>
      <x:c r="B68" s="22" t="n"/>
      <x:c r="C68" s="21" t="n"/>
      <x:c r="D68" s="21" t="n"/>
      <x:c r="E68" s="23" t="n"/>
      <x:c r="F68" s="21" t="n"/>
      <x:c r="G68" s="21" t="n"/>
      <x:c r="H68" s="21" t="n"/>
      <x:c r="I68" s="21" t="n"/>
      <x:c r="J68" s="21" t="n"/>
      <x:c r="K68" s="21" t="n"/>
      <x:c r="L68" s="21" t="n"/>
      <x:c r="M68" s="21" t="n"/>
      <x:c r="N68" s="21" t="n"/>
      <x:c r="O68" s="21" t="n"/>
      <x:c r="P68" s="21" t="n"/>
      <x:c r="Q68" s="21" t="n"/>
      <x:c r="R68" s="21" t="n"/>
      <x:c r="S68" s="21" t="n"/>
      <x:c r="T68" s="23" t="n"/>
      <x:c r="U68" s="24">
        <x:f>IF($A68="","",IF(OR($L68="Gap",$L68="Question"),"Red flag",IF(OR($J68="",$H68="",$I68=""),"Needs action",IF(AND($L68="Comply",$M68="Final",$P68&lt;&gt;"",$Q68&lt;&gt;""),"Closed","Review"))))</x:f>
      </x:c>
    </x:row>
    <x:row r="69" ht="26" customHeight="1">
      <x:c r="A69" s="21" t="n"/>
      <x:c r="B69" s="22" t="n"/>
      <x:c r="C69" s="21" t="n"/>
      <x:c r="D69" s="21" t="n"/>
      <x:c r="E69" s="23" t="n"/>
      <x:c r="F69" s="21" t="n"/>
      <x:c r="G69" s="21" t="n"/>
      <x:c r="H69" s="21" t="n"/>
      <x:c r="I69" s="21" t="n"/>
      <x:c r="J69" s="21" t="n"/>
      <x:c r="K69" s="21" t="n"/>
      <x:c r="L69" s="21" t="n"/>
      <x:c r="M69" s="21" t="n"/>
      <x:c r="N69" s="21" t="n"/>
      <x:c r="O69" s="21" t="n"/>
      <x:c r="P69" s="21" t="n"/>
      <x:c r="Q69" s="21" t="n"/>
      <x:c r="R69" s="21" t="n"/>
      <x:c r="S69" s="21" t="n"/>
      <x:c r="T69" s="23" t="n"/>
      <x:c r="U69" s="24">
        <x:f>IF($A69="","",IF(OR($L69="Gap",$L69="Question"),"Red flag",IF(OR($J69="",$H69="",$I69=""),"Needs action",IF(AND($L69="Comply",$M69="Final",$P69&lt;&gt;"",$Q69&lt;&gt;""),"Closed","Review"))))</x:f>
      </x:c>
    </x:row>
    <x:row r="70" ht="26" customHeight="1">
      <x:c r="A70" s="21" t="n"/>
      <x:c r="B70" s="22" t="n"/>
      <x:c r="C70" s="21" t="n"/>
      <x:c r="D70" s="21" t="n"/>
      <x:c r="E70" s="23" t="n"/>
      <x:c r="F70" s="21" t="n"/>
      <x:c r="G70" s="21" t="n"/>
      <x:c r="H70" s="21" t="n"/>
      <x:c r="I70" s="21" t="n"/>
      <x:c r="J70" s="21" t="n"/>
      <x:c r="K70" s="21" t="n"/>
      <x:c r="L70" s="21" t="n"/>
      <x:c r="M70" s="21" t="n"/>
      <x:c r="N70" s="21" t="n"/>
      <x:c r="O70" s="21" t="n"/>
      <x:c r="P70" s="21" t="n"/>
      <x:c r="Q70" s="21" t="n"/>
      <x:c r="R70" s="21" t="n"/>
      <x:c r="S70" s="21" t="n"/>
      <x:c r="T70" s="23" t="n"/>
      <x:c r="U70" s="24">
        <x:f>IF($A70="","",IF(OR($L70="Gap",$L70="Question"),"Red flag",IF(OR($J70="",$H70="",$I70=""),"Needs action",IF(AND($L70="Comply",$M70="Final",$P70&lt;&gt;"",$Q70&lt;&gt;""),"Closed","Review"))))</x:f>
      </x:c>
    </x:row>
    <x:row r="71" ht="26" customHeight="1">
      <x:c r="A71" s="21" t="n"/>
      <x:c r="B71" s="22" t="n"/>
      <x:c r="C71" s="21" t="n"/>
      <x:c r="D71" s="21" t="n"/>
      <x:c r="E71" s="23" t="n"/>
      <x:c r="F71" s="21" t="n"/>
      <x:c r="G71" s="21" t="n"/>
      <x:c r="H71" s="21" t="n"/>
      <x:c r="I71" s="21" t="n"/>
      <x:c r="J71" s="21" t="n"/>
      <x:c r="K71" s="21" t="n"/>
      <x:c r="L71" s="21" t="n"/>
      <x:c r="M71" s="21" t="n"/>
      <x:c r="N71" s="21" t="n"/>
      <x:c r="O71" s="21" t="n"/>
      <x:c r="P71" s="21" t="n"/>
      <x:c r="Q71" s="21" t="n"/>
      <x:c r="R71" s="21" t="n"/>
      <x:c r="S71" s="21" t="n"/>
      <x:c r="T71" s="23" t="n"/>
      <x:c r="U71" s="24">
        <x:f>IF($A71="","",IF(OR($L71="Gap",$L71="Question"),"Red flag",IF(OR($J71="",$H71="",$I71=""),"Needs action",IF(AND($L71="Comply",$M71="Final",$P71&lt;&gt;"",$Q71&lt;&gt;""),"Closed","Review"))))</x:f>
      </x:c>
    </x:row>
    <x:row r="72" ht="26" customHeight="1">
      <x:c r="A72" s="21" t="n"/>
      <x:c r="B72" s="22" t="n"/>
      <x:c r="C72" s="21" t="n"/>
      <x:c r="D72" s="21" t="n"/>
      <x:c r="E72" s="23" t="n"/>
      <x:c r="F72" s="21" t="n"/>
      <x:c r="G72" s="21" t="n"/>
      <x:c r="H72" s="21" t="n"/>
      <x:c r="I72" s="21" t="n"/>
      <x:c r="J72" s="21" t="n"/>
      <x:c r="K72" s="21" t="n"/>
      <x:c r="L72" s="21" t="n"/>
      <x:c r="M72" s="21" t="n"/>
      <x:c r="N72" s="21" t="n"/>
      <x:c r="O72" s="21" t="n"/>
      <x:c r="P72" s="21" t="n"/>
      <x:c r="Q72" s="21" t="n"/>
      <x:c r="R72" s="21" t="n"/>
      <x:c r="S72" s="21" t="n"/>
      <x:c r="T72" s="23" t="n"/>
      <x:c r="U72" s="24">
        <x:f>IF($A72="","",IF(OR($L72="Gap",$L72="Question"),"Red flag",IF(OR($J72="",$H72="",$I72=""),"Needs action",IF(AND($L72="Comply",$M72="Final",$P72&lt;&gt;"",$Q72&lt;&gt;""),"Closed","Review"))))</x:f>
      </x:c>
    </x:row>
    <x:row r="73" ht="26" customHeight="1">
      <x:c r="A73" s="21" t="n"/>
      <x:c r="B73" s="22" t="n"/>
      <x:c r="C73" s="21" t="n"/>
      <x:c r="D73" s="21" t="n"/>
      <x:c r="E73" s="23" t="n"/>
      <x:c r="F73" s="21" t="n"/>
      <x:c r="G73" s="21" t="n"/>
      <x:c r="H73" s="21" t="n"/>
      <x:c r="I73" s="21" t="n"/>
      <x:c r="J73" s="21" t="n"/>
      <x:c r="K73" s="21" t="n"/>
      <x:c r="L73" s="21" t="n"/>
      <x:c r="M73" s="21" t="n"/>
      <x:c r="N73" s="21" t="n"/>
      <x:c r="O73" s="21" t="n"/>
      <x:c r="P73" s="21" t="n"/>
      <x:c r="Q73" s="21" t="n"/>
      <x:c r="R73" s="21" t="n"/>
      <x:c r="S73" s="21" t="n"/>
      <x:c r="T73" s="23" t="n"/>
      <x:c r="U73" s="24">
        <x:f>IF($A73="","",IF(OR($L73="Gap",$L73="Question"),"Red flag",IF(OR($J73="",$H73="",$I73=""),"Needs action",IF(AND($L73="Comply",$M73="Final",$P73&lt;&gt;"",$Q73&lt;&gt;""),"Closed","Review"))))</x:f>
      </x:c>
    </x:row>
    <x:row r="74" ht="26" customHeight="1">
      <x:c r="A74" s="21" t="n"/>
      <x:c r="B74" s="22" t="n"/>
      <x:c r="C74" s="21" t="n"/>
      <x:c r="D74" s="21" t="n"/>
      <x:c r="E74" s="23" t="n"/>
      <x:c r="F74" s="21" t="n"/>
      <x:c r="G74" s="21" t="n"/>
      <x:c r="H74" s="21" t="n"/>
      <x:c r="I74" s="21" t="n"/>
      <x:c r="J74" s="21" t="n"/>
      <x:c r="K74" s="21" t="n"/>
      <x:c r="L74" s="21" t="n"/>
      <x:c r="M74" s="21" t="n"/>
      <x:c r="N74" s="21" t="n"/>
      <x:c r="O74" s="21" t="n"/>
      <x:c r="P74" s="21" t="n"/>
      <x:c r="Q74" s="21" t="n"/>
      <x:c r="R74" s="21" t="n"/>
      <x:c r="S74" s="21" t="n"/>
      <x:c r="T74" s="23" t="n"/>
      <x:c r="U74" s="24">
        <x:f>IF($A74="","",IF(OR($L74="Gap",$L74="Question"),"Red flag",IF(OR($J74="",$H74="",$I74=""),"Needs action",IF(AND($L74="Comply",$M74="Final",$P74&lt;&gt;"",$Q74&lt;&gt;""),"Closed","Review"))))</x:f>
      </x:c>
    </x:row>
    <x:row r="75" ht="26" customHeight="1">
      <x:c r="A75" s="21" t="n"/>
      <x:c r="B75" s="22" t="n"/>
      <x:c r="C75" s="21" t="n"/>
      <x:c r="D75" s="21" t="n"/>
      <x:c r="E75" s="23" t="n"/>
      <x:c r="F75" s="21" t="n"/>
      <x:c r="G75" s="21" t="n"/>
      <x:c r="H75" s="21" t="n"/>
      <x:c r="I75" s="21" t="n"/>
      <x:c r="J75" s="21" t="n"/>
      <x:c r="K75" s="21" t="n"/>
      <x:c r="L75" s="21" t="n"/>
      <x:c r="M75" s="21" t="n"/>
      <x:c r="N75" s="21" t="n"/>
      <x:c r="O75" s="21" t="n"/>
      <x:c r="P75" s="21" t="n"/>
      <x:c r="Q75" s="21" t="n"/>
      <x:c r="R75" s="21" t="n"/>
      <x:c r="S75" s="21" t="n"/>
      <x:c r="T75" s="23" t="n"/>
      <x:c r="U75" s="24">
        <x:f>IF($A75="","",IF(OR($L75="Gap",$L75="Question"),"Red flag",IF(OR($J75="",$H75="",$I75=""),"Needs action",IF(AND($L75="Comply",$M75="Final",$P75&lt;&gt;"",$Q75&lt;&gt;""),"Closed","Review"))))</x:f>
      </x:c>
    </x:row>
    <x:row r="76" ht="26" customHeight="1">
      <x:c r="A76" s="21" t="n"/>
      <x:c r="B76" s="22" t="n"/>
      <x:c r="C76" s="21" t="n"/>
      <x:c r="D76" s="21" t="n"/>
      <x:c r="E76" s="23" t="n"/>
      <x:c r="F76" s="21" t="n"/>
      <x:c r="G76" s="21" t="n"/>
      <x:c r="H76" s="21" t="n"/>
      <x:c r="I76" s="21" t="n"/>
      <x:c r="J76" s="21" t="n"/>
      <x:c r="K76" s="21" t="n"/>
      <x:c r="L76" s="21" t="n"/>
      <x:c r="M76" s="21" t="n"/>
      <x:c r="N76" s="21" t="n"/>
      <x:c r="O76" s="21" t="n"/>
      <x:c r="P76" s="21" t="n"/>
      <x:c r="Q76" s="21" t="n"/>
      <x:c r="R76" s="21" t="n"/>
      <x:c r="S76" s="21" t="n"/>
      <x:c r="T76" s="23" t="n"/>
      <x:c r="U76" s="24">
        <x:f>IF($A76="","",IF(OR($L76="Gap",$L76="Question"),"Red flag",IF(OR($J76="",$H76="",$I76=""),"Needs action",IF(AND($L76="Comply",$M76="Final",$P76&lt;&gt;"",$Q76&lt;&gt;""),"Closed","Review"))))</x:f>
      </x:c>
    </x:row>
    <x:row r="77" ht="26" customHeight="1">
      <x:c r="A77" s="21" t="n"/>
      <x:c r="B77" s="22" t="n"/>
      <x:c r="C77" s="21" t="n"/>
      <x:c r="D77" s="21" t="n"/>
      <x:c r="E77" s="23" t="n"/>
      <x:c r="F77" s="21" t="n"/>
      <x:c r="G77" s="21" t="n"/>
      <x:c r="H77" s="21" t="n"/>
      <x:c r="I77" s="21" t="n"/>
      <x:c r="J77" s="21" t="n"/>
      <x:c r="K77" s="21" t="n"/>
      <x:c r="L77" s="21" t="n"/>
      <x:c r="M77" s="21" t="n"/>
      <x:c r="N77" s="21" t="n"/>
      <x:c r="O77" s="21" t="n"/>
      <x:c r="P77" s="21" t="n"/>
      <x:c r="Q77" s="21" t="n"/>
      <x:c r="R77" s="21" t="n"/>
      <x:c r="S77" s="21" t="n"/>
      <x:c r="T77" s="23" t="n"/>
      <x:c r="U77" s="24">
        <x:f>IF($A77="","",IF(OR($L77="Gap",$L77="Question"),"Red flag",IF(OR($J77="",$H77="",$I77=""),"Needs action",IF(AND($L77="Comply",$M77="Final",$P77&lt;&gt;"",$Q77&lt;&gt;""),"Closed","Review"))))</x:f>
      </x:c>
    </x:row>
    <x:row r="78" ht="26" customHeight="1">
      <x:c r="A78" s="21" t="n"/>
      <x:c r="B78" s="22" t="n"/>
      <x:c r="C78" s="21" t="n"/>
      <x:c r="D78" s="21" t="n"/>
      <x:c r="E78" s="23" t="n"/>
      <x:c r="F78" s="21" t="n"/>
      <x:c r="G78" s="21" t="n"/>
      <x:c r="H78" s="21" t="n"/>
      <x:c r="I78" s="21" t="n"/>
      <x:c r="J78" s="21" t="n"/>
      <x:c r="K78" s="21" t="n"/>
      <x:c r="L78" s="21" t="n"/>
      <x:c r="M78" s="21" t="n"/>
      <x:c r="N78" s="21" t="n"/>
      <x:c r="O78" s="21" t="n"/>
      <x:c r="P78" s="21" t="n"/>
      <x:c r="Q78" s="21" t="n"/>
      <x:c r="R78" s="21" t="n"/>
      <x:c r="S78" s="21" t="n"/>
      <x:c r="T78" s="23" t="n"/>
      <x:c r="U78" s="24">
        <x:f>IF($A78="","",IF(OR($L78="Gap",$L78="Question"),"Red flag",IF(OR($J78="",$H78="",$I78=""),"Needs action",IF(AND($L78="Comply",$M78="Final",$P78&lt;&gt;"",$Q78&lt;&gt;""),"Closed","Review"))))</x:f>
      </x:c>
    </x:row>
    <x:row r="79" ht="26" customHeight="1">
      <x:c r="A79" s="21" t="n"/>
      <x:c r="B79" s="22" t="n"/>
      <x:c r="C79" s="21" t="n"/>
      <x:c r="D79" s="21" t="n"/>
      <x:c r="E79" s="23" t="n"/>
      <x:c r="F79" s="21" t="n"/>
      <x:c r="G79" s="21" t="n"/>
      <x:c r="H79" s="21" t="n"/>
      <x:c r="I79" s="21" t="n"/>
      <x:c r="J79" s="21" t="n"/>
      <x:c r="K79" s="21" t="n"/>
      <x:c r="L79" s="21" t="n"/>
      <x:c r="M79" s="21" t="n"/>
      <x:c r="N79" s="21" t="n"/>
      <x:c r="O79" s="21" t="n"/>
      <x:c r="P79" s="21" t="n"/>
      <x:c r="Q79" s="21" t="n"/>
      <x:c r="R79" s="21" t="n"/>
      <x:c r="S79" s="21" t="n"/>
      <x:c r="T79" s="23" t="n"/>
      <x:c r="U79" s="24">
        <x:f>IF($A79="","",IF(OR($L79="Gap",$L79="Question"),"Red flag",IF(OR($J79="",$H79="",$I79=""),"Needs action",IF(AND($L79="Comply",$M79="Final",$P79&lt;&gt;"",$Q79&lt;&gt;""),"Closed","Review"))))</x:f>
      </x:c>
    </x:row>
    <x:row r="80" ht="26" customHeight="1">
      <x:c r="A80" s="21" t="n"/>
      <x:c r="B80" s="22" t="n"/>
      <x:c r="C80" s="21" t="n"/>
      <x:c r="D80" s="21" t="n"/>
      <x:c r="E80" s="23" t="n"/>
      <x:c r="F80" s="21" t="n"/>
      <x:c r="G80" s="21" t="n"/>
      <x:c r="H80" s="21" t="n"/>
      <x:c r="I80" s="21" t="n"/>
      <x:c r="J80" s="21" t="n"/>
      <x:c r="K80" s="21" t="n"/>
      <x:c r="L80" s="21" t="n"/>
      <x:c r="M80" s="21" t="n"/>
      <x:c r="N80" s="21" t="n"/>
      <x:c r="O80" s="21" t="n"/>
      <x:c r="P80" s="21" t="n"/>
      <x:c r="Q80" s="21" t="n"/>
      <x:c r="R80" s="21" t="n"/>
      <x:c r="S80" s="21" t="n"/>
      <x:c r="T80" s="23" t="n"/>
      <x:c r="U80" s="24">
        <x:f>IF($A80="","",IF(OR($L80="Gap",$L80="Question"),"Red flag",IF(OR($J80="",$H80="",$I80=""),"Needs action",IF(AND($L80="Comply",$M80="Final",$P80&lt;&gt;"",$Q80&lt;&gt;""),"Closed","Review"))))</x:f>
      </x:c>
    </x:row>
    <x:row r="81" ht="26" customHeight="1">
      <x:c r="A81" s="21" t="n"/>
      <x:c r="B81" s="22" t="n"/>
      <x:c r="C81" s="21" t="n"/>
      <x:c r="D81" s="21" t="n"/>
      <x:c r="E81" s="23" t="n"/>
      <x:c r="F81" s="21" t="n"/>
      <x:c r="G81" s="21" t="n"/>
      <x:c r="H81" s="21" t="n"/>
      <x:c r="I81" s="21" t="n"/>
      <x:c r="J81" s="21" t="n"/>
      <x:c r="K81" s="21" t="n"/>
      <x:c r="L81" s="21" t="n"/>
      <x:c r="M81" s="21" t="n"/>
      <x:c r="N81" s="21" t="n"/>
      <x:c r="O81" s="21" t="n"/>
      <x:c r="P81" s="21" t="n"/>
      <x:c r="Q81" s="21" t="n"/>
      <x:c r="R81" s="21" t="n"/>
      <x:c r="S81" s="21" t="n"/>
      <x:c r="T81" s="23" t="n"/>
      <x:c r="U81" s="24">
        <x:f>IF($A81="","",IF(OR($L81="Gap",$L81="Question"),"Red flag",IF(OR($J81="",$H81="",$I81=""),"Needs action",IF(AND($L81="Comply",$M81="Final",$P81&lt;&gt;"",$Q81&lt;&gt;""),"Closed","Review"))))</x:f>
      </x:c>
    </x:row>
    <x:row r="82" ht="26" customHeight="1">
      <x:c r="A82" s="21" t="n"/>
      <x:c r="B82" s="22" t="n"/>
      <x:c r="C82" s="21" t="n"/>
      <x:c r="D82" s="21" t="n"/>
      <x:c r="E82" s="23" t="n"/>
      <x:c r="F82" s="21" t="n"/>
      <x:c r="G82" s="21" t="n"/>
      <x:c r="H82" s="21" t="n"/>
      <x:c r="I82" s="21" t="n"/>
      <x:c r="J82" s="21" t="n"/>
      <x:c r="K82" s="21" t="n"/>
      <x:c r="L82" s="21" t="n"/>
      <x:c r="M82" s="21" t="n"/>
      <x:c r="N82" s="21" t="n"/>
      <x:c r="O82" s="21" t="n"/>
      <x:c r="P82" s="21" t="n"/>
      <x:c r="Q82" s="21" t="n"/>
      <x:c r="R82" s="21" t="n"/>
      <x:c r="S82" s="21" t="n"/>
      <x:c r="T82" s="23" t="n"/>
      <x:c r="U82" s="24">
        <x:f>IF($A82="","",IF(OR($L82="Gap",$L82="Question"),"Red flag",IF(OR($J82="",$H82="",$I82=""),"Needs action",IF(AND($L82="Comply",$M82="Final",$P82&lt;&gt;"",$Q82&lt;&gt;""),"Closed","Review"))))</x:f>
      </x:c>
    </x:row>
    <x:row r="83" ht="26" customHeight="1">
      <x:c r="A83" s="21" t="n"/>
      <x:c r="B83" s="22" t="n"/>
      <x:c r="C83" s="21" t="n"/>
      <x:c r="D83" s="21" t="n"/>
      <x:c r="E83" s="23" t="n"/>
      <x:c r="F83" s="21" t="n"/>
      <x:c r="G83" s="21" t="n"/>
      <x:c r="H83" s="21" t="n"/>
      <x:c r="I83" s="21" t="n"/>
      <x:c r="J83" s="21" t="n"/>
      <x:c r="K83" s="21" t="n"/>
      <x:c r="L83" s="21" t="n"/>
      <x:c r="M83" s="21" t="n"/>
      <x:c r="N83" s="21" t="n"/>
      <x:c r="O83" s="21" t="n"/>
      <x:c r="P83" s="21" t="n"/>
      <x:c r="Q83" s="21" t="n"/>
      <x:c r="R83" s="21" t="n"/>
      <x:c r="S83" s="21" t="n"/>
      <x:c r="T83" s="23" t="n"/>
      <x:c r="U83" s="24">
        <x:f>IF($A83="","",IF(OR($L83="Gap",$L83="Question"),"Red flag",IF(OR($J83="",$H83="",$I83=""),"Needs action",IF(AND($L83="Comply",$M83="Final",$P83&lt;&gt;"",$Q83&lt;&gt;""),"Closed","Review"))))</x:f>
      </x:c>
    </x:row>
    <x:row r="84" ht="26" customHeight="1">
      <x:c r="A84" s="21" t="n"/>
      <x:c r="B84" s="22" t="n"/>
      <x:c r="C84" s="21" t="n"/>
      <x:c r="D84" s="21" t="n"/>
      <x:c r="E84" s="23" t="n"/>
      <x:c r="F84" s="21" t="n"/>
      <x:c r="G84" s="21" t="n"/>
      <x:c r="H84" s="21" t="n"/>
      <x:c r="I84" s="21" t="n"/>
      <x:c r="J84" s="21" t="n"/>
      <x:c r="K84" s="21" t="n"/>
      <x:c r="L84" s="21" t="n"/>
      <x:c r="M84" s="21" t="n"/>
      <x:c r="N84" s="21" t="n"/>
      <x:c r="O84" s="21" t="n"/>
      <x:c r="P84" s="21" t="n"/>
      <x:c r="Q84" s="21" t="n"/>
      <x:c r="R84" s="21" t="n"/>
      <x:c r="S84" s="21" t="n"/>
      <x:c r="T84" s="23" t="n"/>
      <x:c r="U84" s="24">
        <x:f>IF($A84="","",IF(OR($L84="Gap",$L84="Question"),"Red flag",IF(OR($J84="",$H84="",$I84=""),"Needs action",IF(AND($L84="Comply",$M84="Final",$P84&lt;&gt;"",$Q84&lt;&gt;""),"Closed","Review"))))</x:f>
      </x:c>
    </x:row>
    <x:row r="85" ht="26" customHeight="1">
      <x:c r="A85" s="21" t="n"/>
      <x:c r="B85" s="22" t="n"/>
      <x:c r="C85" s="21" t="n"/>
      <x:c r="D85" s="21" t="n"/>
      <x:c r="E85" s="23" t="n"/>
      <x:c r="F85" s="21" t="n"/>
      <x:c r="G85" s="21" t="n"/>
      <x:c r="H85" s="21" t="n"/>
      <x:c r="I85" s="21" t="n"/>
      <x:c r="J85" s="21" t="n"/>
      <x:c r="K85" s="21" t="n"/>
      <x:c r="L85" s="21" t="n"/>
      <x:c r="M85" s="21" t="n"/>
      <x:c r="N85" s="21" t="n"/>
      <x:c r="O85" s="21" t="n"/>
      <x:c r="P85" s="21" t="n"/>
      <x:c r="Q85" s="21" t="n"/>
      <x:c r="R85" s="21" t="n"/>
      <x:c r="S85" s="21" t="n"/>
      <x:c r="T85" s="23" t="n"/>
      <x:c r="U85" s="24">
        <x:f>IF($A85="","",IF(OR($L85="Gap",$L85="Question"),"Red flag",IF(OR($J85="",$H85="",$I85=""),"Needs action",IF(AND($L85="Comply",$M85="Final",$P85&lt;&gt;"",$Q85&lt;&gt;""),"Closed","Review"))))</x:f>
      </x:c>
    </x:row>
    <x:row r="86" ht="26" customHeight="1">
      <x:c r="A86" s="21" t="n"/>
      <x:c r="B86" s="22" t="n"/>
      <x:c r="C86" s="21" t="n"/>
      <x:c r="D86" s="21" t="n"/>
      <x:c r="E86" s="23" t="n"/>
      <x:c r="F86" s="21" t="n"/>
      <x:c r="G86" s="21" t="n"/>
      <x:c r="H86" s="21" t="n"/>
      <x:c r="I86" s="21" t="n"/>
      <x:c r="J86" s="21" t="n"/>
      <x:c r="K86" s="21" t="n"/>
      <x:c r="L86" s="21" t="n"/>
      <x:c r="M86" s="21" t="n"/>
      <x:c r="N86" s="21" t="n"/>
      <x:c r="O86" s="21" t="n"/>
      <x:c r="P86" s="21" t="n"/>
      <x:c r="Q86" s="21" t="n"/>
      <x:c r="R86" s="21" t="n"/>
      <x:c r="S86" s="21" t="n"/>
      <x:c r="T86" s="23" t="n"/>
      <x:c r="U86" s="24">
        <x:f>IF($A86="","",IF(OR($L86="Gap",$L86="Question"),"Red flag",IF(OR($J86="",$H86="",$I86=""),"Needs action",IF(AND($L86="Comply",$M86="Final",$P86&lt;&gt;"",$Q86&lt;&gt;""),"Closed","Review"))))</x:f>
      </x:c>
    </x:row>
    <x:row r="87" ht="26" customHeight="1">
      <x:c r="A87" s="21" t="n"/>
      <x:c r="B87" s="22" t="n"/>
      <x:c r="C87" s="21" t="n"/>
      <x:c r="D87" s="21" t="n"/>
      <x:c r="E87" s="23" t="n"/>
      <x:c r="F87" s="21" t="n"/>
      <x:c r="G87" s="21" t="n"/>
      <x:c r="H87" s="21" t="n"/>
      <x:c r="I87" s="21" t="n"/>
      <x:c r="J87" s="21" t="n"/>
      <x:c r="K87" s="21" t="n"/>
      <x:c r="L87" s="21" t="n"/>
      <x:c r="M87" s="21" t="n"/>
      <x:c r="N87" s="21" t="n"/>
      <x:c r="O87" s="21" t="n"/>
      <x:c r="P87" s="21" t="n"/>
      <x:c r="Q87" s="21" t="n"/>
      <x:c r="R87" s="21" t="n"/>
      <x:c r="S87" s="21" t="n"/>
      <x:c r="T87" s="23" t="n"/>
      <x:c r="U87" s="24">
        <x:f>IF($A87="","",IF(OR($L87="Gap",$L87="Question"),"Red flag",IF(OR($J87="",$H87="",$I87=""),"Needs action",IF(AND($L87="Comply",$M87="Final",$P87&lt;&gt;"",$Q87&lt;&gt;""),"Closed","Review"))))</x:f>
      </x:c>
    </x:row>
    <x:row r="88" ht="26" customHeight="1">
      <x:c r="A88" s="21" t="n"/>
      <x:c r="B88" s="22" t="n"/>
      <x:c r="C88" s="21" t="n"/>
      <x:c r="D88" s="21" t="n"/>
      <x:c r="E88" s="23" t="n"/>
      <x:c r="F88" s="21" t="n"/>
      <x:c r="G88" s="21" t="n"/>
      <x:c r="H88" s="21" t="n"/>
      <x:c r="I88" s="21" t="n"/>
      <x:c r="J88" s="21" t="n"/>
      <x:c r="K88" s="21" t="n"/>
      <x:c r="L88" s="21" t="n"/>
      <x:c r="M88" s="21" t="n"/>
      <x:c r="N88" s="21" t="n"/>
      <x:c r="O88" s="21" t="n"/>
      <x:c r="P88" s="21" t="n"/>
      <x:c r="Q88" s="21" t="n"/>
      <x:c r="R88" s="21" t="n"/>
      <x:c r="S88" s="21" t="n"/>
      <x:c r="T88" s="23" t="n"/>
      <x:c r="U88" s="24">
        <x:f>IF($A88="","",IF(OR($L88="Gap",$L88="Question"),"Red flag",IF(OR($J88="",$H88="",$I88=""),"Needs action",IF(AND($L88="Comply",$M88="Final",$P88&lt;&gt;"",$Q88&lt;&gt;""),"Closed","Review"))))</x:f>
      </x:c>
    </x:row>
    <x:row r="89" ht="26" customHeight="1">
      <x:c r="A89" s="21" t="n"/>
      <x:c r="B89" s="22" t="n"/>
      <x:c r="C89" s="21" t="n"/>
      <x:c r="D89" s="21" t="n"/>
      <x:c r="E89" s="23" t="n"/>
      <x:c r="F89" s="21" t="n"/>
      <x:c r="G89" s="21" t="n"/>
      <x:c r="H89" s="21" t="n"/>
      <x:c r="I89" s="21" t="n"/>
      <x:c r="J89" s="21" t="n"/>
      <x:c r="K89" s="21" t="n"/>
      <x:c r="L89" s="21" t="n"/>
      <x:c r="M89" s="21" t="n"/>
      <x:c r="N89" s="21" t="n"/>
      <x:c r="O89" s="21" t="n"/>
      <x:c r="P89" s="21" t="n"/>
      <x:c r="Q89" s="21" t="n"/>
      <x:c r="R89" s="21" t="n"/>
      <x:c r="S89" s="21" t="n"/>
      <x:c r="T89" s="23" t="n"/>
      <x:c r="U89" s="24">
        <x:f>IF($A89="","",IF(OR($L89="Gap",$L89="Question"),"Red flag",IF(OR($J89="",$H89="",$I89=""),"Needs action",IF(AND($L89="Comply",$M89="Final",$P89&lt;&gt;"",$Q89&lt;&gt;""),"Closed","Review"))))</x:f>
      </x:c>
    </x:row>
    <x:row r="90" ht="26" customHeight="1">
      <x:c r="A90" s="21" t="n"/>
      <x:c r="B90" s="22" t="n"/>
      <x:c r="C90" s="21" t="n"/>
      <x:c r="D90" s="21" t="n"/>
      <x:c r="E90" s="23" t="n"/>
      <x:c r="F90" s="21" t="n"/>
      <x:c r="G90" s="21" t="n"/>
      <x:c r="H90" s="21" t="n"/>
      <x:c r="I90" s="21" t="n"/>
      <x:c r="J90" s="21" t="n"/>
      <x:c r="K90" s="21" t="n"/>
      <x:c r="L90" s="21" t="n"/>
      <x:c r="M90" s="21" t="n"/>
      <x:c r="N90" s="21" t="n"/>
      <x:c r="O90" s="21" t="n"/>
      <x:c r="P90" s="21" t="n"/>
      <x:c r="Q90" s="21" t="n"/>
      <x:c r="R90" s="21" t="n"/>
      <x:c r="S90" s="21" t="n"/>
      <x:c r="T90" s="23" t="n"/>
      <x:c r="U90" s="24">
        <x:f>IF($A90="","",IF(OR($L90="Gap",$L90="Question"),"Red flag",IF(OR($J90="",$H90="",$I90=""),"Needs action",IF(AND($L90="Comply",$M90="Final",$P90&lt;&gt;"",$Q90&lt;&gt;""),"Closed","Review"))))</x:f>
      </x:c>
    </x:row>
    <x:row r="91" ht="26" customHeight="1">
      <x:c r="A91" s="21" t="n"/>
      <x:c r="B91" s="22" t="n"/>
      <x:c r="C91" s="21" t="n"/>
      <x:c r="D91" s="21" t="n"/>
      <x:c r="E91" s="23" t="n"/>
      <x:c r="F91" s="21" t="n"/>
      <x:c r="G91" s="21" t="n"/>
      <x:c r="H91" s="21" t="n"/>
      <x:c r="I91" s="21" t="n"/>
      <x:c r="J91" s="21" t="n"/>
      <x:c r="K91" s="21" t="n"/>
      <x:c r="L91" s="21" t="n"/>
      <x:c r="M91" s="21" t="n"/>
      <x:c r="N91" s="21" t="n"/>
      <x:c r="O91" s="21" t="n"/>
      <x:c r="P91" s="21" t="n"/>
      <x:c r="Q91" s="21" t="n"/>
      <x:c r="R91" s="21" t="n"/>
      <x:c r="S91" s="21" t="n"/>
      <x:c r="T91" s="23" t="n"/>
      <x:c r="U91" s="24">
        <x:f>IF($A91="","",IF(OR($L91="Gap",$L91="Question"),"Red flag",IF(OR($J91="",$H91="",$I91=""),"Needs action",IF(AND($L91="Comply",$M91="Final",$P91&lt;&gt;"",$Q91&lt;&gt;""),"Closed","Review"))))</x:f>
      </x:c>
    </x:row>
    <x:row r="92" ht="26" customHeight="1">
      <x:c r="A92" s="21" t="n"/>
      <x:c r="B92" s="22" t="n"/>
      <x:c r="C92" s="21" t="n"/>
      <x:c r="D92" s="21" t="n"/>
      <x:c r="E92" s="23" t="n"/>
      <x:c r="F92" s="21" t="n"/>
      <x:c r="G92" s="21" t="n"/>
      <x:c r="H92" s="21" t="n"/>
      <x:c r="I92" s="21" t="n"/>
      <x:c r="J92" s="21" t="n"/>
      <x:c r="K92" s="21" t="n"/>
      <x:c r="L92" s="21" t="n"/>
      <x:c r="M92" s="21" t="n"/>
      <x:c r="N92" s="21" t="n"/>
      <x:c r="O92" s="21" t="n"/>
      <x:c r="P92" s="21" t="n"/>
      <x:c r="Q92" s="21" t="n"/>
      <x:c r="R92" s="21" t="n"/>
      <x:c r="S92" s="21" t="n"/>
      <x:c r="T92" s="23" t="n"/>
      <x:c r="U92" s="24">
        <x:f>IF($A92="","",IF(OR($L92="Gap",$L92="Question"),"Red flag",IF(OR($J92="",$H92="",$I92=""),"Needs action",IF(AND($L92="Comply",$M92="Final",$P92&lt;&gt;"",$Q92&lt;&gt;""),"Closed","Review"))))</x:f>
      </x:c>
    </x:row>
    <x:row r="93" ht="26" customHeight="1">
      <x:c r="A93" s="21" t="n"/>
      <x:c r="B93" s="22" t="n"/>
      <x:c r="C93" s="21" t="n"/>
      <x:c r="D93" s="21" t="n"/>
      <x:c r="E93" s="23" t="n"/>
      <x:c r="F93" s="21" t="n"/>
      <x:c r="G93" s="21" t="n"/>
      <x:c r="H93" s="21" t="n"/>
      <x:c r="I93" s="21" t="n"/>
      <x:c r="J93" s="21" t="n"/>
      <x:c r="K93" s="21" t="n"/>
      <x:c r="L93" s="21" t="n"/>
      <x:c r="M93" s="21" t="n"/>
      <x:c r="N93" s="21" t="n"/>
      <x:c r="O93" s="21" t="n"/>
      <x:c r="P93" s="21" t="n"/>
      <x:c r="Q93" s="21" t="n"/>
      <x:c r="R93" s="21" t="n"/>
      <x:c r="S93" s="21" t="n"/>
      <x:c r="T93" s="23" t="n"/>
      <x:c r="U93" s="24">
        <x:f>IF($A93="","",IF(OR($L93="Gap",$L93="Question"),"Red flag",IF(OR($J93="",$H93="",$I93=""),"Needs action",IF(AND($L93="Comply",$M93="Final",$P93&lt;&gt;"",$Q93&lt;&gt;""),"Closed","Review"))))</x:f>
      </x:c>
    </x:row>
    <x:row r="94" ht="26" customHeight="1">
      <x:c r="A94" s="21" t="n"/>
      <x:c r="B94" s="22" t="n"/>
      <x:c r="C94" s="21" t="n"/>
      <x:c r="D94" s="21" t="n"/>
      <x:c r="E94" s="23" t="n"/>
      <x:c r="F94" s="21" t="n"/>
      <x:c r="G94" s="21" t="n"/>
      <x:c r="H94" s="21" t="n"/>
      <x:c r="I94" s="21" t="n"/>
      <x:c r="J94" s="21" t="n"/>
      <x:c r="K94" s="21" t="n"/>
      <x:c r="L94" s="21" t="n"/>
      <x:c r="M94" s="21" t="n"/>
      <x:c r="N94" s="21" t="n"/>
      <x:c r="O94" s="21" t="n"/>
      <x:c r="P94" s="21" t="n"/>
      <x:c r="Q94" s="21" t="n"/>
      <x:c r="R94" s="21" t="n"/>
      <x:c r="S94" s="21" t="n"/>
      <x:c r="T94" s="23" t="n"/>
      <x:c r="U94" s="24">
        <x:f>IF($A94="","",IF(OR($L94="Gap",$L94="Question"),"Red flag",IF(OR($J94="",$H94="",$I94=""),"Needs action",IF(AND($L94="Comply",$M94="Final",$P94&lt;&gt;"",$Q94&lt;&gt;""),"Closed","Review"))))</x:f>
      </x:c>
    </x:row>
    <x:row r="95" ht="26" customHeight="1">
      <x:c r="A95" s="21" t="n"/>
      <x:c r="B95" s="22" t="n"/>
      <x:c r="C95" s="21" t="n"/>
      <x:c r="D95" s="21" t="n"/>
      <x:c r="E95" s="23" t="n"/>
      <x:c r="F95" s="21" t="n"/>
      <x:c r="G95" s="21" t="n"/>
      <x:c r="H95" s="21" t="n"/>
      <x:c r="I95" s="21" t="n"/>
      <x:c r="J95" s="21" t="n"/>
      <x:c r="K95" s="21" t="n"/>
      <x:c r="L95" s="21" t="n"/>
      <x:c r="M95" s="21" t="n"/>
      <x:c r="N95" s="21" t="n"/>
      <x:c r="O95" s="21" t="n"/>
      <x:c r="P95" s="21" t="n"/>
      <x:c r="Q95" s="21" t="n"/>
      <x:c r="R95" s="21" t="n"/>
      <x:c r="S95" s="21" t="n"/>
      <x:c r="T95" s="23" t="n"/>
      <x:c r="U95" s="24">
        <x:f>IF($A95="","",IF(OR($L95="Gap",$L95="Question"),"Red flag",IF(OR($J95="",$H95="",$I95=""),"Needs action",IF(AND($L95="Comply",$M95="Final",$P95&lt;&gt;"",$Q95&lt;&gt;""),"Closed","Review"))))</x:f>
      </x:c>
    </x:row>
    <x:row r="96" ht="26" customHeight="1">
      <x:c r="A96" s="21" t="n"/>
      <x:c r="B96" s="22" t="n"/>
      <x:c r="C96" s="21" t="n"/>
      <x:c r="D96" s="21" t="n"/>
      <x:c r="E96" s="23" t="n"/>
      <x:c r="F96" s="21" t="n"/>
      <x:c r="G96" s="21" t="n"/>
      <x:c r="H96" s="21" t="n"/>
      <x:c r="I96" s="21" t="n"/>
      <x:c r="J96" s="21" t="n"/>
      <x:c r="K96" s="21" t="n"/>
      <x:c r="L96" s="21" t="n"/>
      <x:c r="M96" s="21" t="n"/>
      <x:c r="N96" s="21" t="n"/>
      <x:c r="O96" s="21" t="n"/>
      <x:c r="P96" s="21" t="n"/>
      <x:c r="Q96" s="21" t="n"/>
      <x:c r="R96" s="21" t="n"/>
      <x:c r="S96" s="21" t="n"/>
      <x:c r="T96" s="23" t="n"/>
      <x:c r="U96" s="24">
        <x:f>IF($A96="","",IF(OR($L96="Gap",$L96="Question"),"Red flag",IF(OR($J96="",$H96="",$I96=""),"Needs action",IF(AND($L96="Comply",$M96="Final",$P96&lt;&gt;"",$Q96&lt;&gt;""),"Closed","Review"))))</x:f>
      </x:c>
    </x:row>
    <x:row r="97" ht="26" customHeight="1">
      <x:c r="A97" s="21" t="n"/>
      <x:c r="B97" s="22" t="n"/>
      <x:c r="C97" s="21" t="n"/>
      <x:c r="D97" s="21" t="n"/>
      <x:c r="E97" s="23" t="n"/>
      <x:c r="F97" s="21" t="n"/>
      <x:c r="G97" s="21" t="n"/>
      <x:c r="H97" s="21" t="n"/>
      <x:c r="I97" s="21" t="n"/>
      <x:c r="J97" s="21" t="n"/>
      <x:c r="K97" s="21" t="n"/>
      <x:c r="L97" s="21" t="n"/>
      <x:c r="M97" s="21" t="n"/>
      <x:c r="N97" s="21" t="n"/>
      <x:c r="O97" s="21" t="n"/>
      <x:c r="P97" s="21" t="n"/>
      <x:c r="Q97" s="21" t="n"/>
      <x:c r="R97" s="21" t="n"/>
      <x:c r="S97" s="21" t="n"/>
      <x:c r="T97" s="23" t="n"/>
      <x:c r="U97" s="24">
        <x:f>IF($A97="","",IF(OR($L97="Gap",$L97="Question"),"Red flag",IF(OR($J97="",$H97="",$I97=""),"Needs action",IF(AND($L97="Comply",$M97="Final",$P97&lt;&gt;"",$Q97&lt;&gt;""),"Closed","Review"))))</x:f>
      </x:c>
    </x:row>
    <x:row r="98" ht="26" customHeight="1">
      <x:c r="A98" s="21" t="n"/>
      <x:c r="B98" s="22" t="n"/>
      <x:c r="C98" s="21" t="n"/>
      <x:c r="D98" s="21" t="n"/>
      <x:c r="E98" s="23" t="n"/>
      <x:c r="F98" s="21" t="n"/>
      <x:c r="G98" s="21" t="n"/>
      <x:c r="H98" s="21" t="n"/>
      <x:c r="I98" s="21" t="n"/>
      <x:c r="J98" s="21" t="n"/>
      <x:c r="K98" s="21" t="n"/>
      <x:c r="L98" s="21" t="n"/>
      <x:c r="M98" s="21" t="n"/>
      <x:c r="N98" s="21" t="n"/>
      <x:c r="O98" s="21" t="n"/>
      <x:c r="P98" s="21" t="n"/>
      <x:c r="Q98" s="21" t="n"/>
      <x:c r="R98" s="21" t="n"/>
      <x:c r="S98" s="21" t="n"/>
      <x:c r="T98" s="23" t="n"/>
      <x:c r="U98" s="24">
        <x:f>IF($A98="","",IF(OR($L98="Gap",$L98="Question"),"Red flag",IF(OR($J98="",$H98="",$I98=""),"Needs action",IF(AND($L98="Comply",$M98="Final",$P98&lt;&gt;"",$Q98&lt;&gt;""),"Closed","Review"))))</x:f>
      </x:c>
    </x:row>
    <x:row r="99" ht="26" customHeight="1">
      <x:c r="A99" s="21" t="n"/>
      <x:c r="B99" s="22" t="n"/>
      <x:c r="C99" s="21" t="n"/>
      <x:c r="D99" s="21" t="n"/>
      <x:c r="E99" s="23" t="n"/>
      <x:c r="F99" s="21" t="n"/>
      <x:c r="G99" s="21" t="n"/>
      <x:c r="H99" s="21" t="n"/>
      <x:c r="I99" s="21" t="n"/>
      <x:c r="J99" s="21" t="n"/>
      <x:c r="K99" s="21" t="n"/>
      <x:c r="L99" s="21" t="n"/>
      <x:c r="M99" s="21" t="n"/>
      <x:c r="N99" s="21" t="n"/>
      <x:c r="O99" s="21" t="n"/>
      <x:c r="P99" s="21" t="n"/>
      <x:c r="Q99" s="21" t="n"/>
      <x:c r="R99" s="21" t="n"/>
      <x:c r="S99" s="21" t="n"/>
      <x:c r="T99" s="23" t="n"/>
      <x:c r="U99" s="24">
        <x:f>IF($A99="","",IF(OR($L99="Gap",$L99="Question"),"Red flag",IF(OR($J99="",$H99="",$I99=""),"Needs action",IF(AND($L99="Comply",$M99="Final",$P99&lt;&gt;"",$Q99&lt;&gt;""),"Closed","Review"))))</x:f>
      </x:c>
    </x:row>
    <x:row r="100" ht="26" customHeight="1">
      <x:c r="A100" s="21" t="n"/>
      <x:c r="B100" s="22" t="n"/>
      <x:c r="C100" s="21" t="n"/>
      <x:c r="D100" s="21" t="n"/>
      <x:c r="E100" s="23" t="n"/>
      <x:c r="F100" s="21" t="n"/>
      <x:c r="G100" s="21" t="n"/>
      <x:c r="H100" s="21" t="n"/>
      <x:c r="I100" s="21" t="n"/>
      <x:c r="J100" s="21" t="n"/>
      <x:c r="K100" s="21" t="n"/>
      <x:c r="L100" s="21" t="n"/>
      <x:c r="M100" s="21" t="n"/>
      <x:c r="N100" s="21" t="n"/>
      <x:c r="O100" s="21" t="n"/>
      <x:c r="P100" s="21" t="n"/>
      <x:c r="Q100" s="21" t="n"/>
      <x:c r="R100" s="21" t="n"/>
      <x:c r="S100" s="21" t="n"/>
      <x:c r="T100" s="23" t="n"/>
      <x:c r="U100" s="24">
        <x:f>IF($A100="","",IF(OR($L100="Gap",$L100="Question"),"Red flag",IF(OR($J100="",$H100="",$I100=""),"Needs action",IF(AND($L100="Comply",$M100="Final",$P100&lt;&gt;"",$Q100&lt;&gt;""),"Closed","Review"))))</x:f>
      </x:c>
    </x:row>
    <x:row r="101" ht="26" customHeight="1">
      <x:c r="A101" s="21" t="n"/>
      <x:c r="B101" s="22" t="n"/>
      <x:c r="C101" s="21" t="n"/>
      <x:c r="D101" s="21" t="n"/>
      <x:c r="E101" s="23" t="n"/>
      <x:c r="F101" s="21" t="n"/>
      <x:c r="G101" s="21" t="n"/>
      <x:c r="H101" s="21" t="n"/>
      <x:c r="I101" s="21" t="n"/>
      <x:c r="J101" s="21" t="n"/>
      <x:c r="K101" s="21" t="n"/>
      <x:c r="L101" s="21" t="n"/>
      <x:c r="M101" s="21" t="n"/>
      <x:c r="N101" s="21" t="n"/>
      <x:c r="O101" s="21" t="n"/>
      <x:c r="P101" s="21" t="n"/>
      <x:c r="Q101" s="21" t="n"/>
      <x:c r="R101" s="21" t="n"/>
      <x:c r="S101" s="21" t="n"/>
      <x:c r="T101" s="23" t="n"/>
      <x:c r="U101" s="24">
        <x:f>IF($A101="","",IF(OR($L101="Gap",$L101="Question"),"Red flag",IF(OR($J101="",$H101="",$I101=""),"Needs action",IF(AND($L101="Comply",$M101="Final",$P101&lt;&gt;"",$Q101&lt;&gt;""),"Closed","Review"))))</x:f>
      </x:c>
    </x:row>
    <x:row r="102" ht="26" customHeight="1">
      <x:c r="A102" s="21" t="n"/>
      <x:c r="B102" s="22" t="n"/>
      <x:c r="C102" s="21" t="n"/>
      <x:c r="D102" s="21" t="n"/>
      <x:c r="E102" s="23" t="n"/>
      <x:c r="F102" s="21" t="n"/>
      <x:c r="G102" s="21" t="n"/>
      <x:c r="H102" s="21" t="n"/>
      <x:c r="I102" s="21" t="n"/>
      <x:c r="J102" s="21" t="n"/>
      <x:c r="K102" s="21" t="n"/>
      <x:c r="L102" s="21" t="n"/>
      <x:c r="M102" s="21" t="n"/>
      <x:c r="N102" s="21" t="n"/>
      <x:c r="O102" s="21" t="n"/>
      <x:c r="P102" s="21" t="n"/>
      <x:c r="Q102" s="21" t="n"/>
      <x:c r="R102" s="21" t="n"/>
      <x:c r="S102" s="21" t="n"/>
      <x:c r="T102" s="23" t="n"/>
      <x:c r="U102" s="24">
        <x:f>IF($A102="","",IF(OR($L102="Gap",$L102="Question"),"Red flag",IF(OR($J102="",$H102="",$I102=""),"Needs action",IF(AND($L102="Comply",$M102="Final",$P102&lt;&gt;"",$Q102&lt;&gt;""),"Closed","Review"))))</x:f>
      </x:c>
    </x:row>
    <x:row r="103" ht="26" customHeight="1">
      <x:c r="A103" s="21" t="n"/>
      <x:c r="B103" s="22" t="n"/>
      <x:c r="C103" s="21" t="n"/>
      <x:c r="D103" s="21" t="n"/>
      <x:c r="E103" s="23" t="n"/>
      <x:c r="F103" s="21" t="n"/>
      <x:c r="G103" s="21" t="n"/>
      <x:c r="H103" s="21" t="n"/>
      <x:c r="I103" s="21" t="n"/>
      <x:c r="J103" s="21" t="n"/>
      <x:c r="K103" s="21" t="n"/>
      <x:c r="L103" s="21" t="n"/>
      <x:c r="M103" s="21" t="n"/>
      <x:c r="N103" s="21" t="n"/>
      <x:c r="O103" s="21" t="n"/>
      <x:c r="P103" s="21" t="n"/>
      <x:c r="Q103" s="21" t="n"/>
      <x:c r="R103" s="21" t="n"/>
      <x:c r="S103" s="21" t="n"/>
      <x:c r="T103" s="23" t="n"/>
      <x:c r="U103" s="24">
        <x:f>IF($A103="","",IF(OR($L103="Gap",$L103="Question"),"Red flag",IF(OR($J103="",$H103="",$I103=""),"Needs action",IF(AND($L103="Comply",$M103="Final",$P103&lt;&gt;"",$Q103&lt;&gt;""),"Closed","Review"))))</x:f>
      </x:c>
    </x:row>
    <x:row r="104" ht="26" customHeight="1">
      <x:c r="A104" s="21" t="n"/>
      <x:c r="B104" s="22" t="n"/>
      <x:c r="C104" s="21" t="n"/>
      <x:c r="D104" s="21" t="n"/>
      <x:c r="E104" s="23" t="n"/>
      <x:c r="F104" s="21" t="n"/>
      <x:c r="G104" s="21" t="n"/>
      <x:c r="H104" s="21" t="n"/>
      <x:c r="I104" s="21" t="n"/>
      <x:c r="J104" s="21" t="n"/>
      <x:c r="K104" s="21" t="n"/>
      <x:c r="L104" s="21" t="n"/>
      <x:c r="M104" s="21" t="n"/>
      <x:c r="N104" s="21" t="n"/>
      <x:c r="O104" s="21" t="n"/>
      <x:c r="P104" s="21" t="n"/>
      <x:c r="Q104" s="21" t="n"/>
      <x:c r="R104" s="21" t="n"/>
      <x:c r="S104" s="21" t="n"/>
      <x:c r="T104" s="23" t="n"/>
      <x:c r="U104" s="24">
        <x:f>IF($A104="","",IF(OR($L104="Gap",$L104="Question"),"Red flag",IF(OR($J104="",$H104="",$I104=""),"Needs action",IF(AND($L104="Comply",$M104="Final",$P104&lt;&gt;"",$Q104&lt;&gt;""),"Closed","Review"))))</x:f>
      </x:c>
    </x:row>
    <x:row r="105" ht="26" customHeight="1">
      <x:c r="A105" s="21" t="n"/>
      <x:c r="B105" s="22" t="n"/>
      <x:c r="C105" s="21" t="n"/>
      <x:c r="D105" s="21" t="n"/>
      <x:c r="E105" s="23" t="n"/>
      <x:c r="F105" s="21" t="n"/>
      <x:c r="G105" s="21" t="n"/>
      <x:c r="H105" s="21" t="n"/>
      <x:c r="I105" s="21" t="n"/>
      <x:c r="J105" s="21" t="n"/>
      <x:c r="K105" s="21" t="n"/>
      <x:c r="L105" s="21" t="n"/>
      <x:c r="M105" s="21" t="n"/>
      <x:c r="N105" s="21" t="n"/>
      <x:c r="O105" s="21" t="n"/>
      <x:c r="P105" s="21" t="n"/>
      <x:c r="Q105" s="21" t="n"/>
      <x:c r="R105" s="21" t="n"/>
      <x:c r="S105" s="21" t="n"/>
      <x:c r="T105" s="23" t="n"/>
      <x:c r="U105" s="24">
        <x:f>IF($A105="","",IF(OR($L105="Gap",$L105="Question"),"Red flag",IF(OR($J105="",$H105="",$I105=""),"Needs action",IF(AND($L105="Comply",$M105="Final",$P105&lt;&gt;"",$Q105&lt;&gt;""),"Closed","Review"))))</x:f>
      </x:c>
    </x:row>
    <x:row r="106" ht="26" customHeight="1">
      <x:c r="A106" s="21" t="n"/>
      <x:c r="B106" s="22" t="n"/>
      <x:c r="C106" s="21" t="n"/>
      <x:c r="D106" s="21" t="n"/>
      <x:c r="E106" s="23" t="n"/>
      <x:c r="F106" s="21" t="n"/>
      <x:c r="G106" s="21" t="n"/>
      <x:c r="H106" s="21" t="n"/>
      <x:c r="I106" s="21" t="n"/>
      <x:c r="J106" s="21" t="n"/>
      <x:c r="K106" s="21" t="n"/>
      <x:c r="L106" s="21" t="n"/>
      <x:c r="M106" s="21" t="n"/>
      <x:c r="N106" s="21" t="n"/>
      <x:c r="O106" s="21" t="n"/>
      <x:c r="P106" s="21" t="n"/>
      <x:c r="Q106" s="21" t="n"/>
      <x:c r="R106" s="21" t="n"/>
      <x:c r="S106" s="21" t="n"/>
      <x:c r="T106" s="23" t="n"/>
      <x:c r="U106" s="24">
        <x:f>IF($A106="","",IF(OR($L106="Gap",$L106="Question"),"Red flag",IF(OR($J106="",$H106="",$I106=""),"Needs action",IF(AND($L106="Comply",$M106="Final",$P106&lt;&gt;"",$Q106&lt;&gt;""),"Closed","Review"))))</x:f>
      </x:c>
    </x:row>
    <x:row r="107" ht="26" customHeight="1">
      <x:c r="A107" s="21" t="n"/>
      <x:c r="B107" s="22" t="n"/>
      <x:c r="C107" s="21" t="n"/>
      <x:c r="D107" s="21" t="n"/>
      <x:c r="E107" s="23" t="n"/>
      <x:c r="F107" s="21" t="n"/>
      <x:c r="G107" s="21" t="n"/>
      <x:c r="H107" s="21" t="n"/>
      <x:c r="I107" s="21" t="n"/>
      <x:c r="J107" s="21" t="n"/>
      <x:c r="K107" s="21" t="n"/>
      <x:c r="L107" s="21" t="n"/>
      <x:c r="M107" s="21" t="n"/>
      <x:c r="N107" s="21" t="n"/>
      <x:c r="O107" s="21" t="n"/>
      <x:c r="P107" s="21" t="n"/>
      <x:c r="Q107" s="21" t="n"/>
      <x:c r="R107" s="21" t="n"/>
      <x:c r="S107" s="21" t="n"/>
      <x:c r="T107" s="23" t="n"/>
      <x:c r="U107" s="24">
        <x:f>IF($A107="","",IF(OR($L107="Gap",$L107="Question"),"Red flag",IF(OR($J107="",$H107="",$I107=""),"Needs action",IF(AND($L107="Comply",$M107="Final",$P107&lt;&gt;"",$Q107&lt;&gt;""),"Closed","Review"))))</x:f>
      </x:c>
    </x:row>
    <x:row r="108" ht="26" customHeight="1">
      <x:c r="A108" s="21" t="n"/>
      <x:c r="B108" s="22" t="n"/>
      <x:c r="C108" s="21" t="n"/>
      <x:c r="D108" s="21" t="n"/>
      <x:c r="E108" s="23" t="n"/>
      <x:c r="F108" s="21" t="n"/>
      <x:c r="G108" s="21" t="n"/>
      <x:c r="H108" s="21" t="n"/>
      <x:c r="I108" s="21" t="n"/>
      <x:c r="J108" s="21" t="n"/>
      <x:c r="K108" s="21" t="n"/>
      <x:c r="L108" s="21" t="n"/>
      <x:c r="M108" s="21" t="n"/>
      <x:c r="N108" s="21" t="n"/>
      <x:c r="O108" s="21" t="n"/>
      <x:c r="P108" s="21" t="n"/>
      <x:c r="Q108" s="21" t="n"/>
      <x:c r="R108" s="21" t="n"/>
      <x:c r="S108" s="21" t="n"/>
      <x:c r="T108" s="23" t="n"/>
      <x:c r="U108" s="24">
        <x:f>IF($A108="","",IF(OR($L108="Gap",$L108="Question"),"Red flag",IF(OR($J108="",$H108="",$I108=""),"Needs action",IF(AND($L108="Comply",$M108="Final",$P108&lt;&gt;"",$Q108&lt;&gt;""),"Closed","Review"))))</x:f>
      </x:c>
    </x:row>
    <x:row r="109" ht="26" customHeight="1">
      <x:c r="A109" s="21" t="n"/>
      <x:c r="B109" s="22" t="n"/>
      <x:c r="C109" s="21" t="n"/>
      <x:c r="D109" s="21" t="n"/>
      <x:c r="E109" s="23" t="n"/>
      <x:c r="F109" s="21" t="n"/>
      <x:c r="G109" s="21" t="n"/>
      <x:c r="H109" s="21" t="n"/>
      <x:c r="I109" s="21" t="n"/>
      <x:c r="J109" s="21" t="n"/>
      <x:c r="K109" s="21" t="n"/>
      <x:c r="L109" s="21" t="n"/>
      <x:c r="M109" s="21" t="n"/>
      <x:c r="N109" s="21" t="n"/>
      <x:c r="O109" s="21" t="n"/>
      <x:c r="P109" s="21" t="n"/>
      <x:c r="Q109" s="21" t="n"/>
      <x:c r="R109" s="21" t="n"/>
      <x:c r="S109" s="21" t="n"/>
      <x:c r="T109" s="23" t="n"/>
      <x:c r="U109" s="24">
        <x:f>IF($A109="","",IF(OR($L109="Gap",$L109="Question"),"Red flag",IF(OR($J109="",$H109="",$I109=""),"Needs action",IF(AND($L109="Comply",$M109="Final",$P109&lt;&gt;"",$Q109&lt;&gt;""),"Closed","Review"))))</x:f>
      </x:c>
    </x:row>
    <x:row r="110" ht="26" customHeight="1">
      <x:c r="A110" s="21" t="n"/>
      <x:c r="B110" s="22" t="n"/>
      <x:c r="C110" s="21" t="n"/>
      <x:c r="D110" s="21" t="n"/>
      <x:c r="E110" s="23" t="n"/>
      <x:c r="F110" s="21" t="n"/>
      <x:c r="G110" s="21" t="n"/>
      <x:c r="H110" s="21" t="n"/>
      <x:c r="I110" s="21" t="n"/>
      <x:c r="J110" s="21" t="n"/>
      <x:c r="K110" s="21" t="n"/>
      <x:c r="L110" s="21" t="n"/>
      <x:c r="M110" s="21" t="n"/>
      <x:c r="N110" s="21" t="n"/>
      <x:c r="O110" s="21" t="n"/>
      <x:c r="P110" s="21" t="n"/>
      <x:c r="Q110" s="21" t="n"/>
      <x:c r="R110" s="21" t="n"/>
      <x:c r="S110" s="21" t="n"/>
      <x:c r="T110" s="23" t="n"/>
      <x:c r="U110" s="24">
        <x:f>IF($A110="","",IF(OR($L110="Gap",$L110="Question"),"Red flag",IF(OR($J110="",$H110="",$I110=""),"Needs action",IF(AND($L110="Comply",$M110="Final",$P110&lt;&gt;"",$Q110&lt;&gt;""),"Closed","Review"))))</x:f>
      </x:c>
    </x:row>
    <x:row r="111" ht="26" customHeight="1">
      <x:c r="A111" s="21" t="n"/>
      <x:c r="B111" s="22" t="n"/>
      <x:c r="C111" s="21" t="n"/>
      <x:c r="D111" s="21" t="n"/>
      <x:c r="E111" s="23" t="n"/>
      <x:c r="F111" s="21" t="n"/>
      <x:c r="G111" s="21" t="n"/>
      <x:c r="H111" s="21" t="n"/>
      <x:c r="I111" s="21" t="n"/>
      <x:c r="J111" s="21" t="n"/>
      <x:c r="K111" s="21" t="n"/>
      <x:c r="L111" s="21" t="n"/>
      <x:c r="M111" s="21" t="n"/>
      <x:c r="N111" s="21" t="n"/>
      <x:c r="O111" s="21" t="n"/>
      <x:c r="P111" s="21" t="n"/>
      <x:c r="Q111" s="21" t="n"/>
      <x:c r="R111" s="21" t="n"/>
      <x:c r="S111" s="21" t="n"/>
      <x:c r="T111" s="23" t="n"/>
      <x:c r="U111" s="24">
        <x:f>IF($A111="","",IF(OR($L111="Gap",$L111="Question"),"Red flag",IF(OR($J111="",$H111="",$I111=""),"Needs action",IF(AND($L111="Comply",$M111="Final",$P111&lt;&gt;"",$Q111&lt;&gt;""),"Closed","Review"))))</x:f>
      </x:c>
    </x:row>
    <x:row r="112" ht="26" customHeight="1">
      <x:c r="A112" s="21" t="n"/>
      <x:c r="B112" s="22" t="n"/>
      <x:c r="C112" s="21" t="n"/>
      <x:c r="D112" s="21" t="n"/>
      <x:c r="E112" s="23" t="n"/>
      <x:c r="F112" s="21" t="n"/>
      <x:c r="G112" s="21" t="n"/>
      <x:c r="H112" s="21" t="n"/>
      <x:c r="I112" s="21" t="n"/>
      <x:c r="J112" s="21" t="n"/>
      <x:c r="K112" s="21" t="n"/>
      <x:c r="L112" s="21" t="n"/>
      <x:c r="M112" s="21" t="n"/>
      <x:c r="N112" s="21" t="n"/>
      <x:c r="O112" s="21" t="n"/>
      <x:c r="P112" s="21" t="n"/>
      <x:c r="Q112" s="21" t="n"/>
      <x:c r="R112" s="21" t="n"/>
      <x:c r="S112" s="21" t="n"/>
      <x:c r="T112" s="23" t="n"/>
      <x:c r="U112" s="24">
        <x:f>IF($A112="","",IF(OR($L112="Gap",$L112="Question"),"Red flag",IF(OR($J112="",$H112="",$I112=""),"Needs action",IF(AND($L112="Comply",$M112="Final",$P112&lt;&gt;"",$Q112&lt;&gt;""),"Closed","Review"))))</x:f>
      </x:c>
    </x:row>
    <x:row r="113" ht="26" customHeight="1">
      <x:c r="A113" s="21" t="n"/>
      <x:c r="B113" s="22" t="n"/>
      <x:c r="C113" s="21" t="n"/>
      <x:c r="D113" s="21" t="n"/>
      <x:c r="E113" s="23" t="n"/>
      <x:c r="F113" s="21" t="n"/>
      <x:c r="G113" s="21" t="n"/>
      <x:c r="H113" s="21" t="n"/>
      <x:c r="I113" s="21" t="n"/>
      <x:c r="J113" s="21" t="n"/>
      <x:c r="K113" s="21" t="n"/>
      <x:c r="L113" s="21" t="n"/>
      <x:c r="M113" s="21" t="n"/>
      <x:c r="N113" s="21" t="n"/>
      <x:c r="O113" s="21" t="n"/>
      <x:c r="P113" s="21" t="n"/>
      <x:c r="Q113" s="21" t="n"/>
      <x:c r="R113" s="21" t="n"/>
      <x:c r="S113" s="21" t="n"/>
      <x:c r="T113" s="23" t="n"/>
      <x:c r="U113" s="24">
        <x:f>IF($A113="","",IF(OR($L113="Gap",$L113="Question"),"Red flag",IF(OR($J113="",$H113="",$I113=""),"Needs action",IF(AND($L113="Comply",$M113="Final",$P113&lt;&gt;"",$Q113&lt;&gt;""),"Closed","Review"))))</x:f>
      </x:c>
    </x:row>
    <x:row r="114" ht="26" customHeight="1">
      <x:c r="A114" s="21" t="n"/>
      <x:c r="B114" s="22" t="n"/>
      <x:c r="C114" s="21" t="n"/>
      <x:c r="D114" s="21" t="n"/>
      <x:c r="E114" s="23" t="n"/>
      <x:c r="F114" s="21" t="n"/>
      <x:c r="G114" s="21" t="n"/>
      <x:c r="H114" s="21" t="n"/>
      <x:c r="I114" s="21" t="n"/>
      <x:c r="J114" s="21" t="n"/>
      <x:c r="K114" s="21" t="n"/>
      <x:c r="L114" s="21" t="n"/>
      <x:c r="M114" s="21" t="n"/>
      <x:c r="N114" s="21" t="n"/>
      <x:c r="O114" s="21" t="n"/>
      <x:c r="P114" s="21" t="n"/>
      <x:c r="Q114" s="21" t="n"/>
      <x:c r="R114" s="21" t="n"/>
      <x:c r="S114" s="21" t="n"/>
      <x:c r="T114" s="23" t="n"/>
      <x:c r="U114" s="24">
        <x:f>IF($A114="","",IF(OR($L114="Gap",$L114="Question"),"Red flag",IF(OR($J114="",$H114="",$I114=""),"Needs action",IF(AND($L114="Comply",$M114="Final",$P114&lt;&gt;"",$Q114&lt;&gt;""),"Closed","Review"))))</x:f>
      </x:c>
    </x:row>
    <x:row r="115" ht="26" customHeight="1">
      <x:c r="A115" s="21" t="n"/>
      <x:c r="B115" s="22" t="n"/>
      <x:c r="C115" s="21" t="n"/>
      <x:c r="D115" s="21" t="n"/>
      <x:c r="E115" s="23" t="n"/>
      <x:c r="F115" s="21" t="n"/>
      <x:c r="G115" s="21" t="n"/>
      <x:c r="H115" s="21" t="n"/>
      <x:c r="I115" s="21" t="n"/>
      <x:c r="J115" s="21" t="n"/>
      <x:c r="K115" s="21" t="n"/>
      <x:c r="L115" s="21" t="n"/>
      <x:c r="M115" s="21" t="n"/>
      <x:c r="N115" s="21" t="n"/>
      <x:c r="O115" s="21" t="n"/>
      <x:c r="P115" s="21" t="n"/>
      <x:c r="Q115" s="21" t="n"/>
      <x:c r="R115" s="21" t="n"/>
      <x:c r="S115" s="21" t="n"/>
      <x:c r="T115" s="23" t="n"/>
      <x:c r="U115" s="24">
        <x:f>IF($A115="","",IF(OR($L115="Gap",$L115="Question"),"Red flag",IF(OR($J115="",$H115="",$I115=""),"Needs action",IF(AND($L115="Comply",$M115="Final",$P115&lt;&gt;"",$Q115&lt;&gt;""),"Closed","Review"))))</x:f>
      </x:c>
    </x:row>
    <x:row r="116" ht="26" customHeight="1">
      <x:c r="A116" s="21" t="n"/>
      <x:c r="B116" s="22" t="n"/>
      <x:c r="C116" s="21" t="n"/>
      <x:c r="D116" s="21" t="n"/>
      <x:c r="E116" s="23" t="n"/>
      <x:c r="F116" s="21" t="n"/>
      <x:c r="G116" s="21" t="n"/>
      <x:c r="H116" s="21" t="n"/>
      <x:c r="I116" s="21" t="n"/>
      <x:c r="J116" s="21" t="n"/>
      <x:c r="K116" s="21" t="n"/>
      <x:c r="L116" s="21" t="n"/>
      <x:c r="M116" s="21" t="n"/>
      <x:c r="N116" s="21" t="n"/>
      <x:c r="O116" s="21" t="n"/>
      <x:c r="P116" s="21" t="n"/>
      <x:c r="Q116" s="21" t="n"/>
      <x:c r="R116" s="21" t="n"/>
      <x:c r="S116" s="21" t="n"/>
      <x:c r="T116" s="23" t="n"/>
      <x:c r="U116" s="24">
        <x:f>IF($A116="","",IF(OR($L116="Gap",$L116="Question"),"Red flag",IF(OR($J116="",$H116="",$I116=""),"Needs action",IF(AND($L116="Comply",$M116="Final",$P116&lt;&gt;"",$Q116&lt;&gt;""),"Closed","Review"))))</x:f>
      </x:c>
    </x:row>
    <x:row r="117" ht="26" customHeight="1">
      <x:c r="A117" s="21" t="n"/>
      <x:c r="B117" s="22" t="n"/>
      <x:c r="C117" s="21" t="n"/>
      <x:c r="D117" s="21" t="n"/>
      <x:c r="E117" s="23" t="n"/>
      <x:c r="F117" s="21" t="n"/>
      <x:c r="G117" s="21" t="n"/>
      <x:c r="H117" s="21" t="n"/>
      <x:c r="I117" s="21" t="n"/>
      <x:c r="J117" s="21" t="n"/>
      <x:c r="K117" s="21" t="n"/>
      <x:c r="L117" s="21" t="n"/>
      <x:c r="M117" s="21" t="n"/>
      <x:c r="N117" s="21" t="n"/>
      <x:c r="O117" s="21" t="n"/>
      <x:c r="P117" s="21" t="n"/>
      <x:c r="Q117" s="21" t="n"/>
      <x:c r="R117" s="21" t="n"/>
      <x:c r="S117" s="21" t="n"/>
      <x:c r="T117" s="23" t="n"/>
      <x:c r="U117" s="24">
        <x:f>IF($A117="","",IF(OR($L117="Gap",$L117="Question"),"Red flag",IF(OR($J117="",$H117="",$I117=""),"Needs action",IF(AND($L117="Comply",$M117="Final",$P117&lt;&gt;"",$Q117&lt;&gt;""),"Closed","Review"))))</x:f>
      </x:c>
    </x:row>
    <x:row r="118" ht="26" customHeight="1">
      <x:c r="A118" s="21" t="n"/>
      <x:c r="B118" s="22" t="n"/>
      <x:c r="C118" s="21" t="n"/>
      <x:c r="D118" s="21" t="n"/>
      <x:c r="E118" s="23" t="n"/>
      <x:c r="F118" s="21" t="n"/>
      <x:c r="G118" s="21" t="n"/>
      <x:c r="H118" s="21" t="n"/>
      <x:c r="I118" s="21" t="n"/>
      <x:c r="J118" s="21" t="n"/>
      <x:c r="K118" s="21" t="n"/>
      <x:c r="L118" s="21" t="n"/>
      <x:c r="M118" s="21" t="n"/>
      <x:c r="N118" s="21" t="n"/>
      <x:c r="O118" s="21" t="n"/>
      <x:c r="P118" s="21" t="n"/>
      <x:c r="Q118" s="21" t="n"/>
      <x:c r="R118" s="21" t="n"/>
      <x:c r="S118" s="21" t="n"/>
      <x:c r="T118" s="23" t="n"/>
      <x:c r="U118" s="24">
        <x:f>IF($A118="","",IF(OR($L118="Gap",$L118="Question"),"Red flag",IF(OR($J118="",$H118="",$I118=""),"Needs action",IF(AND($L118="Comply",$M118="Final",$P118&lt;&gt;"",$Q118&lt;&gt;""),"Closed","Review"))))</x:f>
      </x:c>
    </x:row>
    <x:row r="119" ht="26" customHeight="1">
      <x:c r="A119" s="21" t="n"/>
      <x:c r="B119" s="22" t="n"/>
      <x:c r="C119" s="21" t="n"/>
      <x:c r="D119" s="21" t="n"/>
      <x:c r="E119" s="23" t="n"/>
      <x:c r="F119" s="21" t="n"/>
      <x:c r="G119" s="21" t="n"/>
      <x:c r="H119" s="21" t="n"/>
      <x:c r="I119" s="21" t="n"/>
      <x:c r="J119" s="21" t="n"/>
      <x:c r="K119" s="21" t="n"/>
      <x:c r="L119" s="21" t="n"/>
      <x:c r="M119" s="21" t="n"/>
      <x:c r="N119" s="21" t="n"/>
      <x:c r="O119" s="21" t="n"/>
      <x:c r="P119" s="21" t="n"/>
      <x:c r="Q119" s="21" t="n"/>
      <x:c r="R119" s="21" t="n"/>
      <x:c r="S119" s="21" t="n"/>
      <x:c r="T119" s="23" t="n"/>
      <x:c r="U119" s="24">
        <x:f>IF($A119="","",IF(OR($L119="Gap",$L119="Question"),"Red flag",IF(OR($J119="",$H119="",$I119=""),"Needs action",IF(AND($L119="Comply",$M119="Final",$P119&lt;&gt;"",$Q119&lt;&gt;""),"Closed","Review"))))</x:f>
      </x:c>
    </x:row>
    <x:row r="120" ht="26" customHeight="1">
      <x:c r="A120" s="21" t="n"/>
      <x:c r="B120" s="22" t="n"/>
      <x:c r="C120" s="21" t="n"/>
      <x:c r="D120" s="21" t="n"/>
      <x:c r="E120" s="23" t="n"/>
      <x:c r="F120" s="21" t="n"/>
      <x:c r="G120" s="21" t="n"/>
      <x:c r="H120" s="21" t="n"/>
      <x:c r="I120" s="21" t="n"/>
      <x:c r="J120" s="21" t="n"/>
      <x:c r="K120" s="21" t="n"/>
      <x:c r="L120" s="21" t="n"/>
      <x:c r="M120" s="21" t="n"/>
      <x:c r="N120" s="21" t="n"/>
      <x:c r="O120" s="21" t="n"/>
      <x:c r="P120" s="21" t="n"/>
      <x:c r="Q120" s="21" t="n"/>
      <x:c r="R120" s="21" t="n"/>
      <x:c r="S120" s="21" t="n"/>
      <x:c r="T120" s="23" t="n"/>
      <x:c r="U120" s="24">
        <x:f>IF($A120="","",IF(OR($L120="Gap",$L120="Question"),"Red flag",IF(OR($J120="",$H120="",$I120=""),"Needs action",IF(AND($L120="Comply",$M120="Final",$P120&lt;&gt;"",$Q120&lt;&gt;""),"Closed","Review"))))</x:f>
      </x:c>
    </x:row>
    <x:row r="121" ht="26" customHeight="1">
      <x:c r="A121" s="21" t="n"/>
      <x:c r="B121" s="22" t="n"/>
      <x:c r="C121" s="21" t="n"/>
      <x:c r="D121" s="21" t="n"/>
      <x:c r="E121" s="23" t="n"/>
      <x:c r="F121" s="21" t="n"/>
      <x:c r="G121" s="21" t="n"/>
      <x:c r="H121" s="21" t="n"/>
      <x:c r="I121" s="21" t="n"/>
      <x:c r="J121" s="21" t="n"/>
      <x:c r="K121" s="21" t="n"/>
      <x:c r="L121" s="21" t="n"/>
      <x:c r="M121" s="21" t="n"/>
      <x:c r="N121" s="21" t="n"/>
      <x:c r="O121" s="21" t="n"/>
      <x:c r="P121" s="21" t="n"/>
      <x:c r="Q121" s="21" t="n"/>
      <x:c r="R121" s="21" t="n"/>
      <x:c r="S121" s="21" t="n"/>
      <x:c r="T121" s="23" t="n"/>
      <x:c r="U121" s="24">
        <x:f>IF($A121="","",IF(OR($L121="Gap",$L121="Question"),"Red flag",IF(OR($J121="",$H121="",$I121=""),"Needs action",IF(AND($L121="Comply",$M121="Final",$P121&lt;&gt;"",$Q121&lt;&gt;""),"Closed","Review"))))</x:f>
      </x:c>
    </x:row>
    <x:row r="122" ht="26" customHeight="1">
      <x:c r="A122" s="21" t="n"/>
      <x:c r="B122" s="22" t="n"/>
      <x:c r="C122" s="21" t="n"/>
      <x:c r="D122" s="21" t="n"/>
      <x:c r="E122" s="23" t="n"/>
      <x:c r="F122" s="21" t="n"/>
      <x:c r="G122" s="21" t="n"/>
      <x:c r="H122" s="21" t="n"/>
      <x:c r="I122" s="21" t="n"/>
      <x:c r="J122" s="21" t="n"/>
      <x:c r="K122" s="21" t="n"/>
      <x:c r="L122" s="21" t="n"/>
      <x:c r="M122" s="21" t="n"/>
      <x:c r="N122" s="21" t="n"/>
      <x:c r="O122" s="21" t="n"/>
      <x:c r="P122" s="21" t="n"/>
      <x:c r="Q122" s="21" t="n"/>
      <x:c r="R122" s="21" t="n"/>
      <x:c r="S122" s="21" t="n"/>
      <x:c r="T122" s="23" t="n"/>
      <x:c r="U122" s="24">
        <x:f>IF($A122="","",IF(OR($L122="Gap",$L122="Question"),"Red flag",IF(OR($J122="",$H122="",$I122=""),"Needs action",IF(AND($L122="Comply",$M122="Final",$P122&lt;&gt;"",$Q122&lt;&gt;""),"Closed","Review"))))</x:f>
      </x:c>
    </x:row>
    <x:row r="123" ht="26" customHeight="1">
      <x:c r="A123" s="21" t="n"/>
      <x:c r="B123" s="22" t="n"/>
      <x:c r="C123" s="21" t="n"/>
      <x:c r="D123" s="21" t="n"/>
      <x:c r="E123" s="23" t="n"/>
      <x:c r="F123" s="21" t="n"/>
      <x:c r="G123" s="21" t="n"/>
      <x:c r="H123" s="21" t="n"/>
      <x:c r="I123" s="21" t="n"/>
      <x:c r="J123" s="21" t="n"/>
      <x:c r="K123" s="21" t="n"/>
      <x:c r="L123" s="21" t="n"/>
      <x:c r="M123" s="21" t="n"/>
      <x:c r="N123" s="21" t="n"/>
      <x:c r="O123" s="21" t="n"/>
      <x:c r="P123" s="21" t="n"/>
      <x:c r="Q123" s="21" t="n"/>
      <x:c r="R123" s="21" t="n"/>
      <x:c r="S123" s="21" t="n"/>
      <x:c r="T123" s="23" t="n"/>
      <x:c r="U123" s="24">
        <x:f>IF($A123="","",IF(OR($L123="Gap",$L123="Question"),"Red flag",IF(OR($J123="",$H123="",$I123=""),"Needs action",IF(AND($L123="Comply",$M123="Final",$P123&lt;&gt;"",$Q123&lt;&gt;""),"Closed","Review"))))</x:f>
      </x:c>
    </x:row>
    <x:row r="124" ht="26" customHeight="1">
      <x:c r="A124" s="21" t="n"/>
      <x:c r="B124" s="22" t="n"/>
      <x:c r="C124" s="21" t="n"/>
      <x:c r="D124" s="21" t="n"/>
      <x:c r="E124" s="23" t="n"/>
      <x:c r="F124" s="21" t="n"/>
      <x:c r="G124" s="21" t="n"/>
      <x:c r="H124" s="21" t="n"/>
      <x:c r="I124" s="21" t="n"/>
      <x:c r="J124" s="21" t="n"/>
      <x:c r="K124" s="21" t="n"/>
      <x:c r="L124" s="21" t="n"/>
      <x:c r="M124" s="21" t="n"/>
      <x:c r="N124" s="21" t="n"/>
      <x:c r="O124" s="21" t="n"/>
      <x:c r="P124" s="21" t="n"/>
      <x:c r="Q124" s="21" t="n"/>
      <x:c r="R124" s="21" t="n"/>
      <x:c r="S124" s="21" t="n"/>
      <x:c r="T124" s="23" t="n"/>
      <x:c r="U124" s="24">
        <x:f>IF($A124="","",IF(OR($L124="Gap",$L124="Question"),"Red flag",IF(OR($J124="",$H124="",$I124=""),"Needs action",IF(AND($L124="Comply",$M124="Final",$P124&lt;&gt;"",$Q124&lt;&gt;""),"Closed","Review"))))</x:f>
      </x:c>
    </x:row>
    <x:row r="125" ht="26" customHeight="1">
      <x:c r="A125" s="21" t="n"/>
      <x:c r="B125" s="22" t="n"/>
      <x:c r="C125" s="21" t="n"/>
      <x:c r="D125" s="21" t="n"/>
      <x:c r="E125" s="23" t="n"/>
      <x:c r="F125" s="21" t="n"/>
      <x:c r="G125" s="21" t="n"/>
      <x:c r="H125" s="21" t="n"/>
      <x:c r="I125" s="21" t="n"/>
      <x:c r="J125" s="21" t="n"/>
      <x:c r="K125" s="21" t="n"/>
      <x:c r="L125" s="21" t="n"/>
      <x:c r="M125" s="21" t="n"/>
      <x:c r="N125" s="21" t="n"/>
      <x:c r="O125" s="21" t="n"/>
      <x:c r="P125" s="21" t="n"/>
      <x:c r="Q125" s="21" t="n"/>
      <x:c r="R125" s="21" t="n"/>
      <x:c r="S125" s="21" t="n"/>
      <x:c r="T125" s="23" t="n"/>
      <x:c r="U125" s="24">
        <x:f>IF($A125="","",IF(OR($L125="Gap",$L125="Question"),"Red flag",IF(OR($J125="",$H125="",$I125=""),"Needs action",IF(AND($L125="Comply",$M125="Final",$P125&lt;&gt;"",$Q125&lt;&gt;""),"Closed","Review"))))</x:f>
      </x:c>
    </x:row>
    <x:row r="126" ht="26" customHeight="1">
      <x:c r="A126" s="21" t="n"/>
      <x:c r="B126" s="22" t="n"/>
      <x:c r="C126" s="21" t="n"/>
      <x:c r="D126" s="21" t="n"/>
      <x:c r="E126" s="23" t="n"/>
      <x:c r="F126" s="21" t="n"/>
      <x:c r="G126" s="21" t="n"/>
      <x:c r="H126" s="21" t="n"/>
      <x:c r="I126" s="21" t="n"/>
      <x:c r="J126" s="21" t="n"/>
      <x:c r="K126" s="21" t="n"/>
      <x:c r="L126" s="21" t="n"/>
      <x:c r="M126" s="21" t="n"/>
      <x:c r="N126" s="21" t="n"/>
      <x:c r="O126" s="21" t="n"/>
      <x:c r="P126" s="21" t="n"/>
      <x:c r="Q126" s="21" t="n"/>
      <x:c r="R126" s="21" t="n"/>
      <x:c r="S126" s="21" t="n"/>
      <x:c r="T126" s="23" t="n"/>
      <x:c r="U126" s="24">
        <x:f>IF($A126="","",IF(OR($L126="Gap",$L126="Question"),"Red flag",IF(OR($J126="",$H126="",$I126=""),"Needs action",IF(AND($L126="Comply",$M126="Final",$P126&lt;&gt;"",$Q126&lt;&gt;""),"Closed","Review"))))</x:f>
      </x:c>
    </x:row>
    <x:row r="127" ht="26" customHeight="1">
      <x:c r="A127" s="21" t="n"/>
      <x:c r="B127" s="22" t="n"/>
      <x:c r="C127" s="21" t="n"/>
      <x:c r="D127" s="21" t="n"/>
      <x:c r="E127" s="23" t="n"/>
      <x:c r="F127" s="21" t="n"/>
      <x:c r="G127" s="21" t="n"/>
      <x:c r="H127" s="21" t="n"/>
      <x:c r="I127" s="21" t="n"/>
      <x:c r="J127" s="21" t="n"/>
      <x:c r="K127" s="21" t="n"/>
      <x:c r="L127" s="21" t="n"/>
      <x:c r="M127" s="21" t="n"/>
      <x:c r="N127" s="21" t="n"/>
      <x:c r="O127" s="21" t="n"/>
      <x:c r="P127" s="21" t="n"/>
      <x:c r="Q127" s="21" t="n"/>
      <x:c r="R127" s="21" t="n"/>
      <x:c r="S127" s="21" t="n"/>
      <x:c r="T127" s="23" t="n"/>
      <x:c r="U127" s="24">
        <x:f>IF($A127="","",IF(OR($L127="Gap",$L127="Question"),"Red flag",IF(OR($J127="",$H127="",$I127=""),"Needs action",IF(AND($L127="Comply",$M127="Final",$P127&lt;&gt;"",$Q127&lt;&gt;""),"Closed","Review"))))</x:f>
      </x:c>
    </x:row>
  </x:sheetData>
  <x:mergeCells>
    <x:mergeCell ref="A4:H4"/>
    <x:mergeCell ref="J5:U5"/>
    <x:mergeCell ref="A2:U2"/>
    <x:mergeCell ref="J6:U6"/>
    <x:mergeCell ref="I4:U4"/>
    <x:mergeCell ref="A5:H5"/>
    <x:mergeCell ref="A1:U1"/>
    <x:mergeCell ref="A6:H6"/>
  </x:mergeCells>
  <x:conditionalFormatting sqref="L8:L127">
    <x:cfRule type="expression" dxfId="1" priority="1">
      <x:formula>$L8="Comply"</x:formula>
    </x:cfRule>
    <x:cfRule type="expression" dxfId="2" priority="2">
      <x:formula>$L8="Partial"</x:formula>
    </x:cfRule>
    <x:cfRule type="expression" dxfId="3" priority="3">
      <x:formula>$L8="Gap"</x:formula>
    </x:cfRule>
    <x:cfRule type="expression" dxfId="0" priority="4">
      <x:formula>$L8="Question"</x:formula>
    </x:cfRule>
    <x:cfRule type="expression" dxfId="4" priority="5">
      <x:formula>$L8="N/A"</x:formula>
    </x:cfRule>
  </x:conditionalFormatting>
  <x:conditionalFormatting sqref="M8:M127">
    <x:cfRule type="expression" dxfId="4" priority="6">
      <x:formula>$M8="Not Started"</x:formula>
    </x:cfRule>
    <x:cfRule type="expression" dxfId="5" priority="7">
      <x:formula>$M8="In Progress"</x:formula>
    </x:cfRule>
    <x:cfRule type="expression" dxfId="0" priority="8">
      <x:formula>$M8="In Review"</x:formula>
    </x:cfRule>
    <x:cfRule type="expression" dxfId="1" priority="9">
      <x:formula>$M8="Final"</x:formula>
    </x:cfRule>
  </x:conditionalFormatting>
  <x:conditionalFormatting sqref="U8:U127">
    <x:cfRule type="expression" dxfId="3" priority="10">
      <x:formula>$U8="Red flag"</x:formula>
    </x:cfRule>
    <x:cfRule type="expression" dxfId="0" priority="11">
      <x:formula>$U8="Needs action"</x:formula>
    </x:cfRule>
    <x:cfRule type="expression" dxfId="2" priority="12">
      <x:formula>$U8="Review"</x:formula>
    </x:cfRule>
    <x:cfRule type="expression" dxfId="1" priority="13">
      <x:formula>$U8="Closed"</x:formula>
    </x:cfRule>
  </x:conditionalFormatting>
  <x:dataValidations count="7">
    <x:dataValidation type="list" allowBlank="1" showDropDown="0" showInputMessage="0" showErrorMessage="0" sqref="B8:B127">
      <x:formula1>=Lists!$A$2:$A$10</x:formula1>
    </x:dataValidation>
    <x:dataValidation type="list" allowBlank="1" showDropDown="0" showInputMessage="0" showErrorMessage="0" sqref="C8:C127">
      <x:formula1>=Lists!$B$2:$B$16</x:formula1>
    </x:dataValidation>
    <x:dataValidation type="list" allowBlank="1" showDropDown="0" showInputMessage="0" showErrorMessage="0" sqref="D8:D127">
      <x:formula1>=Lists!$C$2:$C$6</x:formula1>
    </x:dataValidation>
    <x:dataValidation type="list" allowBlank="1" showDropDown="0" showInputMessage="0" showErrorMessage="0" sqref="H8:H127">
      <x:formula1>=Lists!$N$2:$N$10</x:formula1>
    </x:dataValidation>
    <x:dataValidation type="list" allowBlank="1" showDropDown="0" showInputMessage="0" showErrorMessage="0" sqref="L8:L127">
      <x:formula1>=Lists!$D$2:$D$6</x:formula1>
    </x:dataValidation>
    <x:dataValidation type="list" allowBlank="1" showDropDown="0" showInputMessage="0" showErrorMessage="0" sqref="M8:M127">
      <x:formula1>=Lists!$E$2:$E$5</x:formula1>
    </x:dataValidation>
    <x:dataValidation type="list" allowBlank="1" showDropDown="0" showInputMessage="0" showErrorMessage="0" sqref="R8:R127">
      <x:formula1>=Lists!$O$2:$O$6</x:formula1>
    </x:dataValidation>
  </x:dataValidations>
  <x:pageMargins left="0.7" right="0.7" top="0.75" bottom="0.75" header="0.3" footer="0.3"/>
  <x:legacyDrawing xmlns:r="http://schemas.openxmlformats.org/officeDocument/2006/relationships" r:id="R44666e67f35c4ac2"/>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2" customWidth="1"/>
    <x:col min="2" max="2" width="22" customWidth="1"/>
    <x:col min="3" max="3" width="24" customWidth="1"/>
    <x:col min="4" max="4" width="16" customWidth="1"/>
    <x:col min="5" max="5" width="34" customWidth="1"/>
    <x:col min="6" max="6" width="18" customWidth="1"/>
    <x:col min="7" max="7" width="18" customWidth="1"/>
    <x:col min="8" max="8" width="18" customWidth="1"/>
    <x:col min="9" max="9" width="16" customWidth="1"/>
    <x:col min="10" max="10" width="30" customWidth="1"/>
    <x:col min="11" max="11" width="14" customWidth="1"/>
    <x:col min="12" max="12" width="30" customWidth="1"/>
  </x:cols>
  <x:sheetData>
    <x:row r="1" ht="28" customHeight="1">
      <x:c r="A1" s="1" t="inlineStr">
        <x:is>
          <x:t xml:space="preserve">Evaluation Crosswalk</x:t>
        </x:is>
      </x:c>
      <x:c r="B1" s="1" t="n"/>
      <x:c r="C1" s="1" t="n"/>
      <x:c r="D1" s="1" t="n"/>
      <x:c r="E1" s="1" t="n"/>
      <x:c r="F1" s="1" t="n"/>
      <x:c r="G1" s="1" t="n"/>
      <x:c r="H1" s="1" t="n"/>
      <x:c r="I1" s="1" t="n"/>
      <x:c r="J1" s="1" t="n"/>
      <x:c r="K1" s="1" t="n"/>
      <x:c r="L1" s="1" t="n"/>
    </x:row>
    <x:row r="2" ht="26" customHeight="1">
      <x:c r="A2" s="2" t="inlineStr">
        <x:is>
          <x:t xml:space="preserve">Translate Section M into writing assignments and review criteria. Use one factor or subfactor per row.</x:t>
        </x:is>
      </x:c>
      <x:c r="B2" s="2" t="n"/>
      <x:c r="C2" s="2" t="n"/>
      <x:c r="D2" s="2" t="n"/>
      <x:c r="E2" s="2" t="n"/>
      <x:c r="F2" s="2" t="n"/>
      <x:c r="G2" s="2" t="n"/>
      <x:c r="H2" s="2" t="n"/>
      <x:c r="I2" s="2" t="n"/>
      <x:c r="J2" s="2" t="n"/>
      <x:c r="K2" s="2" t="n"/>
      <x:c r="L2" s="2" t="n"/>
    </x:row>
    <x:row r="3" ht="26" customHeight="1"/>
    <x:row r="4" ht="26" customHeight="1">
      <x:c r="A4" s="3" t="inlineStr">
        <x:is>
          <x:t xml:space="preserve">Why this sheet exists</x:t>
        </x:is>
      </x:c>
      <x:c r="B4" s="3" t="n"/>
      <x:c r="C4" s="3" t="n"/>
      <x:c r="D4" s="3" t="n"/>
      <x:c r="E4" s="3" t="n"/>
      <x:c r="F4" s="3" t="n"/>
      <x:c r="G4" s="3" t="inlineStr">
        <x:is>
          <x:t xml:space="preserve">Working tips</x:t>
        </x:is>
      </x:c>
      <x:c r="H4" s="3" t="n"/>
      <x:c r="I4" s="3" t="n"/>
      <x:c r="J4" s="3" t="n"/>
      <x:c r="K4" s="3" t="n"/>
      <x:c r="L4" s="3" t="n"/>
    </x:row>
    <x:row r="5" ht="26" customHeight="1">
      <x:c r="A5" s="4" t="inlineStr">
        <x:is>
          <x:t xml:space="preserve">The matrix proves compliance; this sheet helps the team win by keeping evaluator priorities, discriminators, and relative importance visible during writing and reviews.</x:t>
        </x:is>
      </x:c>
      <x:c r="B5" s="4" t="n"/>
      <x:c r="C5" s="4" t="n"/>
      <x:c r="D5" s="4" t="n"/>
      <x:c r="E5" s="4" t="n"/>
      <x:c r="F5" s="4" t="n"/>
      <x:c r="G5" s="4" t="inlineStr">
        <x:is>
          <x:t xml:space="preserve">Start with exact evaluation language, then connect each factor to related requirement IDs and proposal sections.</x:t>
        </x:is>
      </x:c>
      <x:c r="H5" s="4" t="n"/>
      <x:c r="I5" s="4" t="n"/>
      <x:c r="J5" s="4" t="n"/>
      <x:c r="K5" s="4" t="n"/>
      <x:c r="L5" s="4" t="n"/>
    </x:row>
    <x:row r="6" ht="26" customHeight="1"/>
    <x:row r="7" ht="34" customHeight="1">
      <x:c r="A7" s="13" t="inlineStr">
        <x:is>
          <x:t xml:space="preserve">Eval ID</x:t>
        </x:is>
      </x:c>
      <x:c r="B7" s="13" t="inlineStr">
        <x:is>
          <x:t xml:space="preserve">Source Citation</x:t>
        </x:is>
      </x:c>
      <x:c r="C7" s="13" t="inlineStr">
        <x:is>
          <x:t xml:space="preserve">Factor / Subfactor</x:t>
        </x:is>
      </x:c>
      <x:c r="D7" s="13" t="inlineStr">
        <x:is>
          <x:t xml:space="preserve">Relative Importance</x:t>
        </x:is>
      </x:c>
      <x:c r="E7" s="13" t="inlineStr">
        <x:is>
          <x:t xml:space="preserve">Evaluator Focus</x:t>
        </x:is>
      </x:c>
      <x:c r="F7" s="13" t="inlineStr">
        <x:is>
          <x:t xml:space="preserve">Related Req IDs</x:t>
        </x:is>
      </x:c>
      <x:c r="G7" s="13" t="inlineStr">
        <x:is>
          <x:t xml:space="preserve">Proposal Volume</x:t>
        </x:is>
      </x:c>
      <x:c r="H7" s="13" t="inlineStr">
        <x:is>
          <x:t xml:space="preserve">Proposal Section</x:t>
        </x:is>
      </x:c>
      <x:c r="I7" s="13" t="inlineStr">
        <x:is>
          <x:t xml:space="preserve">Lead Owner</x:t>
        </x:is>
      </x:c>
      <x:c r="J7" s="13" t="inlineStr">
        <x:is>
          <x:t xml:space="preserve">Evidence / Discriminators</x:t>
        </x:is>
      </x:c>
      <x:c r="K7" s="13" t="inlineStr">
        <x:is>
          <x:t xml:space="preserve">Review Status</x:t>
        </x:is>
      </x:c>
      <x:c r="L7" s="13" t="inlineStr">
        <x:is>
          <x:t xml:space="preserve">Source URL</x:t>
        </x:is>
      </x:c>
    </x:row>
    <x:row r="8" ht="26" customHeight="1">
      <x:c r="A8" s="21" t="n"/>
      <x:c r="B8" s="23" t="n"/>
      <x:c r="C8" s="21" t="n"/>
      <x:c r="D8" s="21" t="n"/>
      <x:c r="E8" s="21" t="n"/>
      <x:c r="F8" s="21" t="n"/>
      <x:c r="G8" s="21" t="n"/>
      <x:c r="H8" s="21" t="n"/>
      <x:c r="I8" s="21" t="n"/>
      <x:c r="J8" s="21" t="n"/>
      <x:c r="K8" s="15" t="n"/>
      <x:c r="L8" s="23" t="n"/>
    </x:row>
    <x:row r="9" ht="26" customHeight="1">
      <x:c r="A9" s="21" t="n"/>
      <x:c r="B9" s="23" t="n"/>
      <x:c r="C9" s="21" t="n"/>
      <x:c r="D9" s="21" t="n"/>
      <x:c r="E9" s="21" t="n"/>
      <x:c r="F9" s="21" t="n"/>
      <x:c r="G9" s="21" t="n"/>
      <x:c r="H9" s="21" t="n"/>
      <x:c r="I9" s="21" t="n"/>
      <x:c r="J9" s="21" t="n"/>
      <x:c r="K9" s="15" t="n"/>
      <x:c r="L9" s="23" t="n"/>
    </x:row>
    <x:row r="10" ht="26" customHeight="1">
      <x:c r="A10" s="21" t="n"/>
      <x:c r="B10" s="23" t="n"/>
      <x:c r="C10" s="21" t="n"/>
      <x:c r="D10" s="21" t="n"/>
      <x:c r="E10" s="21" t="n"/>
      <x:c r="F10" s="21" t="n"/>
      <x:c r="G10" s="21" t="n"/>
      <x:c r="H10" s="21" t="n"/>
      <x:c r="I10" s="21" t="n"/>
      <x:c r="J10" s="21" t="n"/>
      <x:c r="K10" s="15" t="n"/>
      <x:c r="L10" s="23" t="n"/>
    </x:row>
    <x:row r="11" ht="26" customHeight="1">
      <x:c r="A11" s="21" t="n"/>
      <x:c r="B11" s="23" t="n"/>
      <x:c r="C11" s="21" t="n"/>
      <x:c r="D11" s="21" t="n"/>
      <x:c r="E11" s="21" t="n"/>
      <x:c r="F11" s="21" t="n"/>
      <x:c r="G11" s="21" t="n"/>
      <x:c r="H11" s="21" t="n"/>
      <x:c r="I11" s="21" t="n"/>
      <x:c r="J11" s="21" t="n"/>
      <x:c r="K11" s="15" t="n"/>
      <x:c r="L11" s="23" t="n"/>
    </x:row>
    <x:row r="12" ht="26" customHeight="1">
      <x:c r="A12" s="21" t="n"/>
      <x:c r="B12" s="23" t="n"/>
      <x:c r="C12" s="21" t="n"/>
      <x:c r="D12" s="21" t="n"/>
      <x:c r="E12" s="21" t="n"/>
      <x:c r="F12" s="21" t="n"/>
      <x:c r="G12" s="21" t="n"/>
      <x:c r="H12" s="21" t="n"/>
      <x:c r="I12" s="21" t="n"/>
      <x:c r="J12" s="21" t="n"/>
      <x:c r="K12" s="15" t="n"/>
      <x:c r="L12" s="23" t="n"/>
    </x:row>
    <x:row r="13" ht="26" customHeight="1">
      <x:c r="A13" s="21" t="n"/>
      <x:c r="B13" s="23" t="n"/>
      <x:c r="C13" s="21" t="n"/>
      <x:c r="D13" s="21" t="n"/>
      <x:c r="E13" s="21" t="n"/>
      <x:c r="F13" s="21" t="n"/>
      <x:c r="G13" s="21" t="n"/>
      <x:c r="H13" s="21" t="n"/>
      <x:c r="I13" s="21" t="n"/>
      <x:c r="J13" s="21" t="n"/>
      <x:c r="K13" s="15" t="n"/>
      <x:c r="L13" s="23" t="n"/>
    </x:row>
    <x:row r="14" ht="26" customHeight="1">
      <x:c r="A14" s="21" t="n"/>
      <x:c r="B14" s="23" t="n"/>
      <x:c r="C14" s="21" t="n"/>
      <x:c r="D14" s="21" t="n"/>
      <x:c r="E14" s="21" t="n"/>
      <x:c r="F14" s="21" t="n"/>
      <x:c r="G14" s="21" t="n"/>
      <x:c r="H14" s="21" t="n"/>
      <x:c r="I14" s="21" t="n"/>
      <x:c r="J14" s="21" t="n"/>
      <x:c r="K14" s="15" t="n"/>
      <x:c r="L14" s="23" t="n"/>
    </x:row>
    <x:row r="15" ht="26" customHeight="1">
      <x:c r="A15" s="21" t="n"/>
      <x:c r="B15" s="23" t="n"/>
      <x:c r="C15" s="21" t="n"/>
      <x:c r="D15" s="21" t="n"/>
      <x:c r="E15" s="21" t="n"/>
      <x:c r="F15" s="21" t="n"/>
      <x:c r="G15" s="21" t="n"/>
      <x:c r="H15" s="21" t="n"/>
      <x:c r="I15" s="21" t="n"/>
      <x:c r="J15" s="21" t="n"/>
      <x:c r="K15" s="15" t="n"/>
      <x:c r="L15" s="23" t="n"/>
    </x:row>
    <x:row r="16" ht="26" customHeight="1">
      <x:c r="A16" s="21" t="n"/>
      <x:c r="B16" s="23" t="n"/>
      <x:c r="C16" s="21" t="n"/>
      <x:c r="D16" s="21" t="n"/>
      <x:c r="E16" s="21" t="n"/>
      <x:c r="F16" s="21" t="n"/>
      <x:c r="G16" s="21" t="n"/>
      <x:c r="H16" s="21" t="n"/>
      <x:c r="I16" s="21" t="n"/>
      <x:c r="J16" s="21" t="n"/>
      <x:c r="K16" s="15" t="n"/>
      <x:c r="L16" s="23" t="n"/>
    </x:row>
    <x:row r="17" ht="26" customHeight="1">
      <x:c r="A17" s="21" t="n"/>
      <x:c r="B17" s="23" t="n"/>
      <x:c r="C17" s="21" t="n"/>
      <x:c r="D17" s="21" t="n"/>
      <x:c r="E17" s="21" t="n"/>
      <x:c r="F17" s="21" t="n"/>
      <x:c r="G17" s="21" t="n"/>
      <x:c r="H17" s="21" t="n"/>
      <x:c r="I17" s="21" t="n"/>
      <x:c r="J17" s="21" t="n"/>
      <x:c r="K17" s="15" t="n"/>
      <x:c r="L17" s="23" t="n"/>
    </x:row>
    <x:row r="18" ht="26" customHeight="1">
      <x:c r="A18" s="21" t="n"/>
      <x:c r="B18" s="23" t="n"/>
      <x:c r="C18" s="21" t="n"/>
      <x:c r="D18" s="21" t="n"/>
      <x:c r="E18" s="21" t="n"/>
      <x:c r="F18" s="21" t="n"/>
      <x:c r="G18" s="21" t="n"/>
      <x:c r="H18" s="21" t="n"/>
      <x:c r="I18" s="21" t="n"/>
      <x:c r="J18" s="21" t="n"/>
      <x:c r="K18" s="15" t="n"/>
      <x:c r="L18" s="23" t="n"/>
    </x:row>
    <x:row r="19" ht="26" customHeight="1">
      <x:c r="A19" s="21" t="n"/>
      <x:c r="B19" s="23" t="n"/>
      <x:c r="C19" s="21" t="n"/>
      <x:c r="D19" s="21" t="n"/>
      <x:c r="E19" s="21" t="n"/>
      <x:c r="F19" s="21" t="n"/>
      <x:c r="G19" s="21" t="n"/>
      <x:c r="H19" s="21" t="n"/>
      <x:c r="I19" s="21" t="n"/>
      <x:c r="J19" s="21" t="n"/>
      <x:c r="K19" s="15" t="n"/>
      <x:c r="L19" s="23" t="n"/>
    </x:row>
    <x:row r="20" ht="26" customHeight="1">
      <x:c r="A20" s="21" t="n"/>
      <x:c r="B20" s="23" t="n"/>
      <x:c r="C20" s="21" t="n"/>
      <x:c r="D20" s="21" t="n"/>
      <x:c r="E20" s="21" t="n"/>
      <x:c r="F20" s="21" t="n"/>
      <x:c r="G20" s="21" t="n"/>
      <x:c r="H20" s="21" t="n"/>
      <x:c r="I20" s="21" t="n"/>
      <x:c r="J20" s="21" t="n"/>
      <x:c r="K20" s="15" t="n"/>
      <x:c r="L20" s="23" t="n"/>
    </x:row>
    <x:row r="21" ht="26" customHeight="1">
      <x:c r="A21" s="21" t="n"/>
      <x:c r="B21" s="23" t="n"/>
      <x:c r="C21" s="21" t="n"/>
      <x:c r="D21" s="21" t="n"/>
      <x:c r="E21" s="21" t="n"/>
      <x:c r="F21" s="21" t="n"/>
      <x:c r="G21" s="21" t="n"/>
      <x:c r="H21" s="21" t="n"/>
      <x:c r="I21" s="21" t="n"/>
      <x:c r="J21" s="21" t="n"/>
      <x:c r="K21" s="15" t="n"/>
      <x:c r="L21" s="23" t="n"/>
    </x:row>
    <x:row r="22" ht="26" customHeight="1">
      <x:c r="A22" s="21" t="n"/>
      <x:c r="B22" s="23" t="n"/>
      <x:c r="C22" s="21" t="n"/>
      <x:c r="D22" s="21" t="n"/>
      <x:c r="E22" s="21" t="n"/>
      <x:c r="F22" s="21" t="n"/>
      <x:c r="G22" s="21" t="n"/>
      <x:c r="H22" s="21" t="n"/>
      <x:c r="I22" s="21" t="n"/>
      <x:c r="J22" s="21" t="n"/>
      <x:c r="K22" s="15" t="n"/>
      <x:c r="L22" s="23" t="n"/>
    </x:row>
    <x:row r="23" ht="26" customHeight="1">
      <x:c r="A23" s="21" t="n"/>
      <x:c r="B23" s="23" t="n"/>
      <x:c r="C23" s="21" t="n"/>
      <x:c r="D23" s="21" t="n"/>
      <x:c r="E23" s="21" t="n"/>
      <x:c r="F23" s="21" t="n"/>
      <x:c r="G23" s="21" t="n"/>
      <x:c r="H23" s="21" t="n"/>
      <x:c r="I23" s="21" t="n"/>
      <x:c r="J23" s="21" t="n"/>
      <x:c r="K23" s="15" t="n"/>
      <x:c r="L23" s="23" t="n"/>
    </x:row>
    <x:row r="24" ht="26" customHeight="1">
      <x:c r="A24" s="21" t="n"/>
      <x:c r="B24" s="23" t="n"/>
      <x:c r="C24" s="21" t="n"/>
      <x:c r="D24" s="21" t="n"/>
      <x:c r="E24" s="21" t="n"/>
      <x:c r="F24" s="21" t="n"/>
      <x:c r="G24" s="21" t="n"/>
      <x:c r="H24" s="21" t="n"/>
      <x:c r="I24" s="21" t="n"/>
      <x:c r="J24" s="21" t="n"/>
      <x:c r="K24" s="15" t="n"/>
      <x:c r="L24" s="23" t="n"/>
    </x:row>
    <x:row r="25" ht="26" customHeight="1">
      <x:c r="A25" s="21" t="n"/>
      <x:c r="B25" s="23" t="n"/>
      <x:c r="C25" s="21" t="n"/>
      <x:c r="D25" s="21" t="n"/>
      <x:c r="E25" s="21" t="n"/>
      <x:c r="F25" s="21" t="n"/>
      <x:c r="G25" s="21" t="n"/>
      <x:c r="H25" s="21" t="n"/>
      <x:c r="I25" s="21" t="n"/>
      <x:c r="J25" s="21" t="n"/>
      <x:c r="K25" s="15" t="n"/>
      <x:c r="L25" s="23" t="n"/>
    </x:row>
    <x:row r="26" ht="26" customHeight="1">
      <x:c r="A26" s="21" t="n"/>
      <x:c r="B26" s="23" t="n"/>
      <x:c r="C26" s="21" t="n"/>
      <x:c r="D26" s="21" t="n"/>
      <x:c r="E26" s="21" t="n"/>
      <x:c r="F26" s="21" t="n"/>
      <x:c r="G26" s="21" t="n"/>
      <x:c r="H26" s="21" t="n"/>
      <x:c r="I26" s="21" t="n"/>
      <x:c r="J26" s="21" t="n"/>
      <x:c r="K26" s="15" t="n"/>
      <x:c r="L26" s="23" t="n"/>
    </x:row>
    <x:row r="27" ht="26" customHeight="1">
      <x:c r="A27" s="21" t="n"/>
      <x:c r="B27" s="23" t="n"/>
      <x:c r="C27" s="21" t="n"/>
      <x:c r="D27" s="21" t="n"/>
      <x:c r="E27" s="21" t="n"/>
      <x:c r="F27" s="21" t="n"/>
      <x:c r="G27" s="21" t="n"/>
      <x:c r="H27" s="21" t="n"/>
      <x:c r="I27" s="21" t="n"/>
      <x:c r="J27" s="21" t="n"/>
      <x:c r="K27" s="15" t="n"/>
      <x:c r="L27" s="23" t="n"/>
    </x:row>
    <x:row r="28" ht="26" customHeight="1">
      <x:c r="A28" s="21" t="n"/>
      <x:c r="B28" s="23" t="n"/>
      <x:c r="C28" s="21" t="n"/>
      <x:c r="D28" s="21" t="n"/>
      <x:c r="E28" s="21" t="n"/>
      <x:c r="F28" s="21" t="n"/>
      <x:c r="G28" s="21" t="n"/>
      <x:c r="H28" s="21" t="n"/>
      <x:c r="I28" s="21" t="n"/>
      <x:c r="J28" s="21" t="n"/>
      <x:c r="K28" s="15" t="n"/>
      <x:c r="L28" s="23" t="n"/>
    </x:row>
    <x:row r="29" ht="26" customHeight="1">
      <x:c r="A29" s="21" t="n"/>
      <x:c r="B29" s="23" t="n"/>
      <x:c r="C29" s="21" t="n"/>
      <x:c r="D29" s="21" t="n"/>
      <x:c r="E29" s="21" t="n"/>
      <x:c r="F29" s="21" t="n"/>
      <x:c r="G29" s="21" t="n"/>
      <x:c r="H29" s="21" t="n"/>
      <x:c r="I29" s="21" t="n"/>
      <x:c r="J29" s="21" t="n"/>
      <x:c r="K29" s="15" t="n"/>
      <x:c r="L29" s="23" t="n"/>
    </x:row>
    <x:row r="30" ht="26" customHeight="1">
      <x:c r="A30" s="21" t="n"/>
      <x:c r="B30" s="23" t="n"/>
      <x:c r="C30" s="21" t="n"/>
      <x:c r="D30" s="21" t="n"/>
      <x:c r="E30" s="21" t="n"/>
      <x:c r="F30" s="21" t="n"/>
      <x:c r="G30" s="21" t="n"/>
      <x:c r="H30" s="21" t="n"/>
      <x:c r="I30" s="21" t="n"/>
      <x:c r="J30" s="21" t="n"/>
      <x:c r="K30" s="15" t="n"/>
      <x:c r="L30" s="23" t="n"/>
    </x:row>
    <x:row r="31" ht="26" customHeight="1">
      <x:c r="A31" s="21" t="n"/>
      <x:c r="B31" s="23" t="n"/>
      <x:c r="C31" s="21" t="n"/>
      <x:c r="D31" s="21" t="n"/>
      <x:c r="E31" s="21" t="n"/>
      <x:c r="F31" s="21" t="n"/>
      <x:c r="G31" s="21" t="n"/>
      <x:c r="H31" s="21" t="n"/>
      <x:c r="I31" s="21" t="n"/>
      <x:c r="J31" s="21" t="n"/>
      <x:c r="K31" s="15" t="n"/>
      <x:c r="L31" s="23" t="n"/>
    </x:row>
    <x:row r="32" ht="26" customHeight="1">
      <x:c r="A32" s="21" t="n"/>
      <x:c r="B32" s="23" t="n"/>
      <x:c r="C32" s="21" t="n"/>
      <x:c r="D32" s="21" t="n"/>
      <x:c r="E32" s="21" t="n"/>
      <x:c r="F32" s="21" t="n"/>
      <x:c r="G32" s="21" t="n"/>
      <x:c r="H32" s="21" t="n"/>
      <x:c r="I32" s="21" t="n"/>
      <x:c r="J32" s="21" t="n"/>
      <x:c r="K32" s="15" t="n"/>
      <x:c r="L32" s="23" t="n"/>
    </x:row>
    <x:row r="33" ht="26" customHeight="1">
      <x:c r="A33" s="21" t="n"/>
      <x:c r="B33" s="23" t="n"/>
      <x:c r="C33" s="21" t="n"/>
      <x:c r="D33" s="21" t="n"/>
      <x:c r="E33" s="21" t="n"/>
      <x:c r="F33" s="21" t="n"/>
      <x:c r="G33" s="21" t="n"/>
      <x:c r="H33" s="21" t="n"/>
      <x:c r="I33" s="21" t="n"/>
      <x:c r="J33" s="21" t="n"/>
      <x:c r="K33" s="15" t="n"/>
      <x:c r="L33" s="23" t="n"/>
    </x:row>
    <x:row r="34" ht="26" customHeight="1">
      <x:c r="A34" s="21" t="n"/>
      <x:c r="B34" s="23" t="n"/>
      <x:c r="C34" s="21" t="n"/>
      <x:c r="D34" s="21" t="n"/>
      <x:c r="E34" s="21" t="n"/>
      <x:c r="F34" s="21" t="n"/>
      <x:c r="G34" s="21" t="n"/>
      <x:c r="H34" s="21" t="n"/>
      <x:c r="I34" s="21" t="n"/>
      <x:c r="J34" s="21" t="n"/>
      <x:c r="K34" s="15" t="n"/>
      <x:c r="L34" s="23" t="n"/>
    </x:row>
    <x:row r="35" ht="26" customHeight="1">
      <x:c r="A35" s="21" t="n"/>
      <x:c r="B35" s="23" t="n"/>
      <x:c r="C35" s="21" t="n"/>
      <x:c r="D35" s="21" t="n"/>
      <x:c r="E35" s="21" t="n"/>
      <x:c r="F35" s="21" t="n"/>
      <x:c r="G35" s="21" t="n"/>
      <x:c r="H35" s="21" t="n"/>
      <x:c r="I35" s="21" t="n"/>
      <x:c r="J35" s="21" t="n"/>
      <x:c r="K35" s="15" t="n"/>
      <x:c r="L35" s="23" t="n"/>
    </x:row>
    <x:row r="36" ht="26" customHeight="1">
      <x:c r="A36" s="21" t="n"/>
      <x:c r="B36" s="23" t="n"/>
      <x:c r="C36" s="21" t="n"/>
      <x:c r="D36" s="21" t="n"/>
      <x:c r="E36" s="21" t="n"/>
      <x:c r="F36" s="21" t="n"/>
      <x:c r="G36" s="21" t="n"/>
      <x:c r="H36" s="21" t="n"/>
      <x:c r="I36" s="21" t="n"/>
      <x:c r="J36" s="21" t="n"/>
      <x:c r="K36" s="15" t="n"/>
      <x:c r="L36" s="23" t="n"/>
    </x:row>
    <x:row r="37" ht="26" customHeight="1">
      <x:c r="A37" s="21" t="n"/>
      <x:c r="B37" s="23" t="n"/>
      <x:c r="C37" s="21" t="n"/>
      <x:c r="D37" s="21" t="n"/>
      <x:c r="E37" s="21" t="n"/>
      <x:c r="F37" s="21" t="n"/>
      <x:c r="G37" s="21" t="n"/>
      <x:c r="H37" s="21" t="n"/>
      <x:c r="I37" s="21" t="n"/>
      <x:c r="J37" s="21" t="n"/>
      <x:c r="K37" s="15" t="n"/>
      <x:c r="L37" s="23" t="n"/>
    </x:row>
    <x:row r="38" ht="26" customHeight="1">
      <x:c r="A38" s="21" t="n"/>
      <x:c r="B38" s="23" t="n"/>
      <x:c r="C38" s="21" t="n"/>
      <x:c r="D38" s="21" t="n"/>
      <x:c r="E38" s="21" t="n"/>
      <x:c r="F38" s="21" t="n"/>
      <x:c r="G38" s="21" t="n"/>
      <x:c r="H38" s="21" t="n"/>
      <x:c r="I38" s="21" t="n"/>
      <x:c r="J38" s="21" t="n"/>
      <x:c r="K38" s="15" t="n"/>
      <x:c r="L38" s="23" t="n"/>
    </x:row>
    <x:row r="39" ht="26" customHeight="1">
      <x:c r="A39" s="21" t="n"/>
      <x:c r="B39" s="23" t="n"/>
      <x:c r="C39" s="21" t="n"/>
      <x:c r="D39" s="21" t="n"/>
      <x:c r="E39" s="21" t="n"/>
      <x:c r="F39" s="21" t="n"/>
      <x:c r="G39" s="21" t="n"/>
      <x:c r="H39" s="21" t="n"/>
      <x:c r="I39" s="21" t="n"/>
      <x:c r="J39" s="21" t="n"/>
      <x:c r="K39" s="15" t="n"/>
      <x:c r="L39" s="23" t="n"/>
    </x:row>
    <x:row r="40" ht="26" customHeight="1">
      <x:c r="A40" s="21" t="n"/>
      <x:c r="B40" s="23" t="n"/>
      <x:c r="C40" s="21" t="n"/>
      <x:c r="D40" s="21" t="n"/>
      <x:c r="E40" s="21" t="n"/>
      <x:c r="F40" s="21" t="n"/>
      <x:c r="G40" s="21" t="n"/>
      <x:c r="H40" s="21" t="n"/>
      <x:c r="I40" s="21" t="n"/>
      <x:c r="J40" s="21" t="n"/>
      <x:c r="K40" s="15" t="n"/>
      <x:c r="L40" s="23" t="n"/>
    </x:row>
    <x:row r="41" ht="26" customHeight="1">
      <x:c r="A41" s="21" t="n"/>
      <x:c r="B41" s="23" t="n"/>
      <x:c r="C41" s="21" t="n"/>
      <x:c r="D41" s="21" t="n"/>
      <x:c r="E41" s="21" t="n"/>
      <x:c r="F41" s="21" t="n"/>
      <x:c r="G41" s="21" t="n"/>
      <x:c r="H41" s="21" t="n"/>
      <x:c r="I41" s="21" t="n"/>
      <x:c r="J41" s="21" t="n"/>
      <x:c r="K41" s="15" t="n"/>
      <x:c r="L41" s="23" t="n"/>
    </x:row>
    <x:row r="42" ht="26" customHeight="1">
      <x:c r="A42" s="21" t="n"/>
      <x:c r="B42" s="23" t="n"/>
      <x:c r="C42" s="21" t="n"/>
      <x:c r="D42" s="21" t="n"/>
      <x:c r="E42" s="21" t="n"/>
      <x:c r="F42" s="21" t="n"/>
      <x:c r="G42" s="21" t="n"/>
      <x:c r="H42" s="21" t="n"/>
      <x:c r="I42" s="21" t="n"/>
      <x:c r="J42" s="21" t="n"/>
      <x:c r="K42" s="15" t="n"/>
      <x:c r="L42" s="23" t="n"/>
    </x:row>
  </x:sheetData>
  <x:mergeCells>
    <x:mergeCell ref="A2:L2"/>
    <x:mergeCell ref="G5:L5"/>
    <x:mergeCell ref="A5:F5"/>
    <x:mergeCell ref="A1:L1"/>
    <x:mergeCell ref="A4:F4"/>
    <x:mergeCell ref="G4:L4"/>
  </x:mergeCells>
  <x:conditionalFormatting sqref="K8:K42">
    <x:cfRule type="expression" dxfId="4" priority="1">
      <x:formula>$K8="Open"</x:formula>
    </x:cfRule>
    <x:cfRule type="expression" dxfId="5" priority="2">
      <x:formula>$K8="In Progress"</x:formula>
    </x:cfRule>
    <x:cfRule type="expression" dxfId="0" priority="3">
      <x:formula>$K8="In Review"</x:formula>
    </x:cfRule>
    <x:cfRule type="expression" dxfId="1" priority="4">
      <x:formula>$K8="Final"</x:formula>
    </x:cfRule>
  </x:conditionalFormatting>
  <x:dataValidations count="3">
    <x:dataValidation type="list" allowBlank="1" showDropDown="0" showInputMessage="0" showErrorMessage="0" sqref="D8:D42">
      <x:formula1>=Lists!$F$2:$F$6</x:formula1>
    </x:dataValidation>
    <x:dataValidation type="list" allowBlank="1" showDropDown="0" showInputMessage="0" showErrorMessage="0" sqref="G8:G42">
      <x:formula1>=Lists!$N$2:$N$10</x:formula1>
    </x:dataValidation>
    <x:dataValidation type="list" allowBlank="1" showDropDown="0" showInputMessage="0" showErrorMessage="0" sqref="K8:K42">
      <x:formula1>=Lists!$G$2:$G$5</x:formula1>
    </x:dataValidation>
  </x:dataValidations>
  <x:pageMargins left="0.7" right="0.7" top="0.75" bottom="0.75" header="0.3" footer="0.3"/>
  <x:legacyDrawing xmlns:r="http://schemas.openxmlformats.org/officeDocument/2006/relationships" r:id="R0cb3974636a746e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1" customWidth="1"/>
    <x:col min="2" max="2" width="20" customWidth="1"/>
    <x:col min="3" max="3" width="38" customWidth="1"/>
    <x:col min="4" max="4" width="32" customWidth="1"/>
    <x:col min="5" max="5" width="16" customWidth="1"/>
    <x:col min="6" max="6" width="16" customWidth="1"/>
    <x:col min="7" max="7" width="13" customWidth="1"/>
    <x:col min="8" max="8" width="26" customWidth="1"/>
    <x:col min="9" max="9" width="20" customWidth="1"/>
    <x:col min="10" max="10" width="24" customWidth="1"/>
    <x:col min="11" max="11" width="12" customWidth="1"/>
  </x:cols>
  <x:sheetData>
    <x:row r="1" ht="28" customHeight="1">
      <x:c r="A1" s="1" t="inlineStr">
        <x:is>
          <x:t xml:space="preserve">Submission &amp; Compliance Checklist</x:t>
        </x:is>
      </x:c>
      <x:c r="B1" s="1" t="n"/>
      <x:c r="C1" s="1" t="n"/>
      <x:c r="D1" s="1" t="n"/>
      <x:c r="E1" s="1" t="n"/>
      <x:c r="F1" s="1" t="n"/>
      <x:c r="G1" s="1" t="n"/>
      <x:c r="H1" s="1" t="n"/>
      <x:c r="I1" s="1" t="n"/>
      <x:c r="J1" s="1" t="n"/>
      <x:c r="K1" s="1" t="n"/>
    </x:row>
    <x:row r="2" ht="28" customHeight="1">
      <x:c r="A2" s="2" t="inlineStr">
        <x:is>
          <x:t xml:space="preserve">Preloaded controls to reduce preventable noncompliance at final submission. Tailor them to the actual RFP.</x:t>
        </x:is>
      </x:c>
      <x:c r="B2" s="2" t="n"/>
      <x:c r="C2" s="2" t="n"/>
      <x:c r="D2" s="2" t="n"/>
      <x:c r="E2" s="2" t="n"/>
      <x:c r="F2" s="2" t="n"/>
      <x:c r="G2" s="2" t="n"/>
      <x:c r="H2" s="2" t="n"/>
      <x:c r="I2" s="2" t="n"/>
      <x:c r="J2" s="2" t="n"/>
      <x:c r="K2" s="2" t="n"/>
    </x:row>
    <x:row r="3" ht="28" customHeight="1"/>
    <x:row r="4" ht="28" customHeight="1">
      <x:c r="A4" s="17" t="inlineStr">
        <x:is>
          <x:t xml:space="preserve">This sheet is intentionally pre-populated because avoidable packaging, format, and admin errors still sink otherwise strong proposals.</x:t>
        </x:is>
      </x:c>
      <x:c r="B4" s="17" t="n"/>
      <x:c r="C4" s="17" t="n"/>
      <x:c r="D4" s="17" t="n"/>
      <x:c r="E4" s="17" t="n"/>
      <x:c r="F4" s="17" t="n"/>
      <x:c r="G4" s="17" t="n"/>
      <x:c r="H4" s="17" t="n"/>
      <x:c r="I4" s="17" t="n"/>
      <x:c r="J4" s="17" t="n"/>
      <x:c r="K4" s="17" t="n"/>
    </x:row>
    <x:row r="5" ht="28" customHeight="1"/>
    <x:row r="6" ht="34" customHeight="1">
      <x:c r="A6" s="13" t="inlineStr">
        <x:is>
          <x:t xml:space="preserve">Check ID</x:t>
        </x:is>
      </x:c>
      <x:c r="B6" s="13" t="inlineStr">
        <x:is>
          <x:t xml:space="preserve">Category</x:t>
        </x:is>
      </x:c>
      <x:c r="C6" s="13" t="inlineStr">
        <x:is>
          <x:t xml:space="preserve">Control Item</x:t>
        </x:is>
      </x:c>
      <x:c r="D6" s="13" t="inlineStr">
        <x:is>
          <x:t xml:space="preserve">Why it matters</x:t>
        </x:is>
      </x:c>
      <x:c r="E6" s="13" t="inlineStr">
        <x:is>
          <x:t xml:space="preserve">Owner</x:t>
        </x:is>
      </x:c>
      <x:c r="F6" s="13" t="inlineStr">
        <x:is>
          <x:t xml:space="preserve">Due / Verify By</x:t>
        </x:is>
      </x:c>
      <x:c r="G6" s="13" t="inlineStr">
        <x:is>
          <x:t xml:space="preserve">Status</x:t>
        </x:is>
      </x:c>
      <x:c r="H6" s="13" t="inlineStr">
        <x:is>
          <x:t xml:space="preserve">Evidence / Location</x:t>
        </x:is>
      </x:c>
      <x:c r="I6" s="13" t="inlineStr">
        <x:is>
          <x:t xml:space="preserve">Source Citation</x:t>
        </x:is>
      </x:c>
      <x:c r="J6" s="13" t="inlineStr">
        <x:is>
          <x:t xml:space="preserve">Notes</x:t>
        </x:is>
      </x:c>
      <x:c r="K6" s="13" t="inlineStr">
        <x:is>
          <x:t xml:space="preserve">Control Flag</x:t>
        </x:is>
      </x:c>
    </x:row>
    <x:row r="7" ht="28" customHeight="1">
      <x:c r="A7" s="25" t="inlineStr">
        <x:is>
          <x:t xml:space="preserve">SC-01</x:t>
        </x:is>
      </x:c>
      <x:c r="B7" s="26" t="inlineStr">
        <x:is>
          <x:t xml:space="preserve">Submission</x:t>
        </x:is>
      </x:c>
      <x:c r="C7" s="27" t="inlineStr">
        <x:is>
          <x:t xml:space="preserve">Confirm final due date, time, time zone, and submission method from the latest amendment.</x:t>
        </x:is>
      </x:c>
      <x:c r="D7" s="27" t="inlineStr">
        <x:is>
          <x:t xml:space="preserve">Missed deadlines or wrong portals can make the offer unacceptable.</x:t>
        </x:is>
      </x:c>
      <x:c r="E7" s="28" t="n"/>
      <x:c r="F7" s="29" t="n"/>
      <x:c r="G7" s="15" t="inlineStr">
        <x:is>
          <x:t xml:space="preserve">Not Started</x:t>
        </x:is>
      </x:c>
      <x:c r="H7" s="28" t="n"/>
      <x:c r="I7" s="23" t="n"/>
      <x:c r="J7" s="27" t="n"/>
      <x:c r="K7" s="24" t="str">
        <x:f>IF($A7="","",IF(OR($G7="Complete",$G7="N/A"),"Closed","Open"))</x:f>
        <x:v>Open</x:v>
      </x:c>
    </x:row>
    <x:row r="8" ht="28" customHeight="1">
      <x:c r="A8" s="25" t="inlineStr">
        <x:is>
          <x:t xml:space="preserve">SC-02</x:t>
        </x:is>
      </x:c>
      <x:c r="B8" s="26" t="inlineStr">
        <x:is>
          <x:t xml:space="preserve">Admin / Forms</x:t>
        </x:is>
      </x:c>
      <x:c r="C8" s="27" t="inlineStr">
        <x:is>
          <x:t xml:space="preserve">Confirm all amendments are acknowledged and incorporated.</x:t>
        </x:is>
      </x:c>
      <x:c r="D8" s="27" t="inlineStr">
        <x:is>
          <x:t xml:space="preserve">The team can miss updated instructions or requirements if amendments are not tracked.</x:t>
        </x:is>
      </x:c>
      <x:c r="E8" s="28" t="n"/>
      <x:c r="F8" s="29" t="n"/>
      <x:c r="G8" s="15" t="inlineStr">
        <x:is>
          <x:t xml:space="preserve">Not Started</x:t>
        </x:is>
      </x:c>
      <x:c r="H8" s="28" t="n"/>
      <x:c r="I8" s="23" t="n"/>
      <x:c r="J8" s="27" t="n"/>
      <x:c r="K8" s="24" t="str">
        <x:f>IF($A8="","",IF(OR($G8="Complete",$G8="N/A"),"Closed","Open"))</x:f>
        <x:v>Open</x:v>
      </x:c>
    </x:row>
    <x:row r="9" ht="28" customHeight="1">
      <x:c r="A9" s="25" t="inlineStr">
        <x:is>
          <x:t xml:space="preserve">SC-03</x:t>
        </x:is>
      </x:c>
      <x:c r="B9" s="26" t="inlineStr">
        <x:is>
          <x:t xml:space="preserve">Submission</x:t>
        </x:is>
      </x:c>
      <x:c r="C9" s="27" t="inlineStr">
        <x:is>
          <x:t xml:space="preserve">Confirm every required volume / file / part is present.</x:t>
        </x:is>
      </x:c>
      <x:c r="D9" s="27" t="inlineStr">
        <x:is>
          <x:t xml:space="preserve">Incomplete proposals can be rejected as noncompliant.</x:t>
        </x:is>
      </x:c>
      <x:c r="E9" s="28" t="n"/>
      <x:c r="F9" s="29" t="n"/>
      <x:c r="G9" s="15" t="inlineStr">
        <x:is>
          <x:t xml:space="preserve">Not Started</x:t>
        </x:is>
      </x:c>
      <x:c r="H9" s="28" t="n"/>
      <x:c r="I9" s="23" t="n"/>
      <x:c r="J9" s="27" t="n"/>
      <x:c r="K9" s="24" t="str">
        <x:f>IF($A9="","",IF(OR($G9="Complete",$G9="N/A"),"Closed","Open"))</x:f>
        <x:v>Open</x:v>
      </x:c>
    </x:row>
    <x:row r="10" ht="28" customHeight="1">
      <x:c r="A10" s="25" t="inlineStr">
        <x:is>
          <x:t xml:space="preserve">SC-04</x:t>
        </x:is>
      </x:c>
      <x:c r="B10" s="26" t="inlineStr">
        <x:is>
          <x:t xml:space="preserve">Format / Packaging</x:t>
        </x:is>
      </x:c>
      <x:c r="C10" s="27" t="inlineStr">
        <x:is>
          <x:t xml:space="preserve">Confirm page limits, font, margins, spacing, and file-format rules.</x:t>
        </x:is>
      </x:c>
      <x:c r="D10" s="27" t="inlineStr">
        <x:is>
          <x:t xml:space="preserve">Formatting noncompliance can eliminate an otherwise strong offer.</x:t>
        </x:is>
      </x:c>
      <x:c r="E10" s="28" t="n"/>
      <x:c r="F10" s="29" t="n"/>
      <x:c r="G10" s="15" t="inlineStr">
        <x:is>
          <x:t xml:space="preserve">Not Started</x:t>
        </x:is>
      </x:c>
      <x:c r="H10" s="28" t="n"/>
      <x:c r="I10" s="23" t="n"/>
      <x:c r="J10" s="27" t="n"/>
      <x:c r="K10" s="24" t="str">
        <x:f>IF($A10="","",IF(OR($G10="Complete",$G10="N/A"),"Closed","Open"))</x:f>
        <x:v>Open</x:v>
      </x:c>
    </x:row>
    <x:row r="11" ht="28" customHeight="1">
      <x:c r="A11" s="25" t="inlineStr">
        <x:is>
          <x:t xml:space="preserve">SC-05</x:t>
        </x:is>
      </x:c>
      <x:c r="B11" s="26" t="inlineStr">
        <x:is>
          <x:t xml:space="preserve">Format / Packaging</x:t>
        </x:is>
      </x:c>
      <x:c r="C11" s="27" t="inlineStr">
        <x:is>
          <x:t xml:space="preserve">Confirm no prohibited content appears in images, logos, headers, or footers if restricted.</x:t>
        </x:is>
      </x:c>
      <x:c r="D11" s="27" t="inlineStr">
        <x:is>
          <x:t xml:space="preserve">Agencies sometimes warn that violating figure or logo rules makes a quote ineligible.</x:t>
        </x:is>
      </x:c>
      <x:c r="E11" s="28" t="n"/>
      <x:c r="F11" s="29" t="n"/>
      <x:c r="G11" s="15" t="inlineStr">
        <x:is>
          <x:t xml:space="preserve">Not Started</x:t>
        </x:is>
      </x:c>
      <x:c r="H11" s="28" t="n"/>
      <x:c r="I11" s="23" t="n"/>
      <x:c r="J11" s="27" t="n"/>
      <x:c r="K11" s="24" t="str">
        <x:f>IF($A11="","",IF(OR($G11="Complete",$G11="N/A"),"Closed","Open"))</x:f>
        <x:v>Open</x:v>
      </x:c>
    </x:row>
    <x:row r="12" ht="28" customHeight="1">
      <x:c r="A12" s="25" t="inlineStr">
        <x:is>
          <x:t xml:space="preserve">SC-06</x:t>
        </x:is>
      </x:c>
      <x:c r="B12" s="26" t="inlineStr">
        <x:is>
          <x:t xml:space="preserve">Admin / Forms</x:t>
        </x:is>
      </x:c>
      <x:c r="C12" s="27" t="inlineStr">
        <x:is>
          <x:t xml:space="preserve">Confirm signed forms, certifications, representations, and required attachments are included.</x:t>
        </x:is>
      </x:c>
      <x:c r="D12" s="27" t="inlineStr">
        <x:is>
          <x:t xml:space="preserve">Missing forms or certifications create a preventable compliance failure.</x:t>
        </x:is>
      </x:c>
      <x:c r="E12" s="28" t="n"/>
      <x:c r="F12" s="29" t="n"/>
      <x:c r="G12" s="15" t="inlineStr">
        <x:is>
          <x:t xml:space="preserve">Not Started</x:t>
        </x:is>
      </x:c>
      <x:c r="H12" s="28" t="n"/>
      <x:c r="I12" s="23" t="n"/>
      <x:c r="J12" s="27" t="n"/>
      <x:c r="K12" s="24" t="str">
        <x:f>IF($A12="","",IF(OR($G12="Complete",$G12="N/A"),"Closed","Open"))</x:f>
        <x:v>Open</x:v>
      </x:c>
    </x:row>
    <x:row r="13" ht="28" customHeight="1">
      <x:c r="A13" s="25" t="inlineStr">
        <x:is>
          <x:t xml:space="preserve">SC-07</x:t>
        </x:is>
      </x:c>
      <x:c r="B13" s="26" t="inlineStr">
        <x:is>
          <x:t xml:space="preserve">Price</x:t>
        </x:is>
      </x:c>
      <x:c r="C13" s="27" t="inlineStr">
        <x:is>
          <x:t xml:space="preserve">Confirm CLINs, options, and pricing assumptions align across the price file and narrative.</x:t>
        </x:is>
      </x:c>
      <x:c r="D13" s="27" t="inlineStr">
        <x:is>
          <x:t xml:space="preserve">Misalignment between price and narrative creates avoidable evaluation risk.</x:t>
        </x:is>
      </x:c>
      <x:c r="E13" s="28" t="n"/>
      <x:c r="F13" s="29" t="n"/>
      <x:c r="G13" s="15" t="inlineStr">
        <x:is>
          <x:t xml:space="preserve">Not Started</x:t>
        </x:is>
      </x:c>
      <x:c r="H13" s="28" t="n"/>
      <x:c r="I13" s="23" t="n"/>
      <x:c r="J13" s="27" t="n"/>
      <x:c r="K13" s="24" t="str">
        <x:f>IF($A13="","",IF(OR($G13="Complete",$G13="N/A"),"Closed","Open"))</x:f>
        <x:v>Open</x:v>
      </x:c>
    </x:row>
    <x:row r="14" ht="28" customHeight="1">
      <x:c r="A14" s="25" t="inlineStr">
        <x:is>
          <x:t xml:space="preserve">SC-08</x:t>
        </x:is>
      </x:c>
      <x:c r="B14" s="26" t="inlineStr">
        <x:is>
          <x:t xml:space="preserve">Past Performance</x:t>
        </x:is>
      </x:c>
      <x:c r="C14" s="27" t="inlineStr">
        <x:is>
          <x:t xml:space="preserve">Confirm all past performance references/forms/questionnaires are complete and consistent.</x:t>
        </x:is>
      </x:c>
      <x:c r="D14" s="27" t="inlineStr">
        <x:is>
          <x:t xml:space="preserve">Past performance sections often fail on missing forms or mismatched references.</x:t>
        </x:is>
      </x:c>
      <x:c r="E14" s="28" t="n"/>
      <x:c r="F14" s="29" t="n"/>
      <x:c r="G14" s="15" t="inlineStr">
        <x:is>
          <x:t xml:space="preserve">Not Started</x:t>
        </x:is>
      </x:c>
      <x:c r="H14" s="28" t="n"/>
      <x:c r="I14" s="23" t="n"/>
      <x:c r="J14" s="27" t="n"/>
      <x:c r="K14" s="24" t="str">
        <x:f>IF($A14="","",IF(OR($G14="Complete",$G14="N/A"),"Closed","Open"))</x:f>
        <x:v>Open</x:v>
      </x:c>
    </x:row>
    <x:row r="15" ht="28" customHeight="1">
      <x:c r="A15" s="25" t="inlineStr">
        <x:is>
          <x:t xml:space="preserve">SC-09</x:t>
        </x:is>
      </x:c>
      <x:c r="B15" s="26" t="inlineStr">
        <x:is>
          <x:t xml:space="preserve">Admin / Forms</x:t>
        </x:is>
      </x:c>
      <x:c r="C15" s="27" t="inlineStr">
        <x:is>
          <x:t xml:space="preserve">Confirm J-section / exhibit / attachment requirements are all included.</x:t>
        </x:is>
      </x:c>
      <x:c r="D15" s="27" t="inlineStr">
        <x:is>
          <x:t xml:space="preserve">Attachment instructions are easy to miss when the team is under deadline.</x:t>
        </x:is>
      </x:c>
      <x:c r="E15" s="28" t="n"/>
      <x:c r="F15" s="29" t="n"/>
      <x:c r="G15" s="15" t="inlineStr">
        <x:is>
          <x:t xml:space="preserve">Not Started</x:t>
        </x:is>
      </x:c>
      <x:c r="H15" s="28" t="n"/>
      <x:c r="I15" s="23" t="n"/>
      <x:c r="J15" s="27" t="n"/>
      <x:c r="K15" s="24" t="str">
        <x:f>IF($A15="","",IF(OR($G15="Complete",$G15="N/A"),"Closed","Open"))</x:f>
        <x:v>Open</x:v>
      </x:c>
    </x:row>
    <x:row r="16" ht="28" customHeight="1">
      <x:c r="A16" s="25" t="inlineStr">
        <x:is>
          <x:t xml:space="preserve">SC-10</x:t>
        </x:is>
      </x:c>
      <x:c r="B16" s="26" t="inlineStr">
        <x:is>
          <x:t xml:space="preserve">Legal / Compliance</x:t>
        </x:is>
      </x:c>
      <x:c r="C16" s="27" t="inlineStr">
        <x:is>
          <x:t xml:space="preserve">Confirm OCI, SAM, reps/certs, and other compliance prerequisites are current.</x:t>
        </x:is>
      </x:c>
      <x:c r="D16" s="27" t="inlineStr">
        <x:is>
          <x:t xml:space="preserve">Proposal readiness can depend on external compliance artifacts being current.</x:t>
        </x:is>
      </x:c>
      <x:c r="E16" s="28" t="n"/>
      <x:c r="F16" s="29" t="n"/>
      <x:c r="G16" s="15" t="inlineStr">
        <x:is>
          <x:t xml:space="preserve">Not Started</x:t>
        </x:is>
      </x:c>
      <x:c r="H16" s="28" t="n"/>
      <x:c r="I16" s="23" t="n"/>
      <x:c r="J16" s="27" t="n"/>
      <x:c r="K16" s="24" t="str">
        <x:f>IF($A16="","",IF(OR($G16="Complete",$G16="N/A"),"Closed","Open"))</x:f>
        <x:v>Open</x:v>
      </x:c>
    </x:row>
    <x:row r="17" ht="28" customHeight="1">
      <x:c r="A17" s="25" t="inlineStr">
        <x:is>
          <x:t xml:space="preserve">SC-11</x:t>
        </x:is>
      </x:c>
      <x:c r="B17" s="26" t="inlineStr">
        <x:is>
          <x:t xml:space="preserve">Production</x:t>
        </x:is>
      </x:c>
      <x:c r="C17" s="27" t="inlineStr">
        <x:is>
          <x:t xml:space="preserve">Confirm file names, bookmarks, searchable PDFs, and section labels meet instructions.</x:t>
        </x:is>
      </x:c>
      <x:c r="D17" s="27" t="inlineStr">
        <x:is>
          <x:t xml:space="preserve">Production defects can make content hard to evaluate or noncompliant.</x:t>
        </x:is>
      </x:c>
      <x:c r="E17" s="28" t="n"/>
      <x:c r="F17" s="29" t="n"/>
      <x:c r="G17" s="15" t="inlineStr">
        <x:is>
          <x:t xml:space="preserve">Not Started</x:t>
        </x:is>
      </x:c>
      <x:c r="H17" s="28" t="n"/>
      <x:c r="I17" s="23" t="n"/>
      <x:c r="J17" s="27" t="n"/>
      <x:c r="K17" s="24" t="str">
        <x:f>IF($A17="","",IF(OR($G17="Complete",$G17="N/A"),"Closed","Open"))</x:f>
        <x:v>Open</x:v>
      </x:c>
    </x:row>
    <x:row r="18" ht="28" customHeight="1">
      <x:c r="A18" s="25" t="inlineStr">
        <x:is>
          <x:t xml:space="preserve">SC-12</x:t>
        </x:is>
      </x:c>
      <x:c r="B18" s="26" t="inlineStr">
        <x:is>
          <x:t xml:space="preserve">Review</x:t>
        </x:is>
      </x:c>
      <x:c r="C18" s="27" t="inlineStr">
        <x:is>
          <x:t xml:space="preserve">Confirm the requirement matrix or cross-reference is complete if required or used internally.</x:t>
        </x:is>
      </x:c>
      <x:c r="D18" s="27" t="inlineStr">
        <x:is>
          <x:t xml:space="preserve">The team needs a final traceability check before submission.</x:t>
        </x:is>
      </x:c>
      <x:c r="E18" s="28" t="n"/>
      <x:c r="F18" s="29" t="n"/>
      <x:c r="G18" s="15" t="inlineStr">
        <x:is>
          <x:t xml:space="preserve">Not Started</x:t>
        </x:is>
      </x:c>
      <x:c r="H18" s="28" t="n"/>
      <x:c r="I18" s="23" t="n"/>
      <x:c r="J18" s="27" t="n"/>
      <x:c r="K18" s="24" t="str">
        <x:f>IF($A18="","",IF(OR($G18="Complete",$G18="N/A"),"Closed","Open"))</x:f>
        <x:v>Open</x:v>
      </x:c>
    </x:row>
    <x:row r="19" ht="28" customHeight="1">
      <x:c r="A19" s="25" t="inlineStr">
        <x:is>
          <x:t xml:space="preserve">SC-13</x:t>
        </x:is>
      </x:c>
      <x:c r="B19" s="26" t="inlineStr">
        <x:is>
          <x:t xml:space="preserve">Portal</x:t>
        </x:is>
      </x:c>
      <x:c r="C19" s="27" t="inlineStr">
        <x:is>
          <x:t xml:space="preserve">Confirm portal access, file-size limits, allowed file types, and upload workflow.</x:t>
        </x:is>
      </x:c>
      <x:c r="D19" s="27" t="inlineStr">
        <x:is>
          <x:t xml:space="preserve">Portal issues discovered too late can jeopardize on-time submission.</x:t>
        </x:is>
      </x:c>
      <x:c r="E19" s="28" t="n"/>
      <x:c r="F19" s="29" t="n"/>
      <x:c r="G19" s="15" t="inlineStr">
        <x:is>
          <x:t xml:space="preserve">Not Started</x:t>
        </x:is>
      </x:c>
      <x:c r="H19" s="28" t="n"/>
      <x:c r="I19" s="23" t="n"/>
      <x:c r="J19" s="27" t="n"/>
      <x:c r="K19" s="24" t="str">
        <x:f>IF($A19="","",IF(OR($G19="Complete",$G19="N/A"),"Closed","Open"))</x:f>
        <x:v>Open</x:v>
      </x:c>
    </x:row>
    <x:row r="20" ht="28" customHeight="1">
      <x:c r="A20" s="25" t="inlineStr">
        <x:is>
          <x:t xml:space="preserve">SC-14</x:t>
        </x:is>
      </x:c>
      <x:c r="B20" s="26" t="inlineStr">
        <x:is>
          <x:t xml:space="preserve">Production</x:t>
        </x:is>
      </x:c>
      <x:c r="C20" s="27" t="inlineStr">
        <x:is>
          <x:t xml:space="preserve">Confirm review comments, hidden text, and tracked changes are removed from final files.</x:t>
        </x:is>
      </x:c>
      <x:c r="D20" s="27" t="inlineStr">
        <x:is>
          <x:t xml:space="preserve">Final production must be clean and customer-ready.</x:t>
        </x:is>
      </x:c>
      <x:c r="E20" s="28" t="n"/>
      <x:c r="F20" s="29" t="n"/>
      <x:c r="G20" s="15" t="inlineStr">
        <x:is>
          <x:t xml:space="preserve">Not Started</x:t>
        </x:is>
      </x:c>
      <x:c r="H20" s="28" t="n"/>
      <x:c r="I20" s="23" t="n"/>
      <x:c r="J20" s="27" t="n"/>
      <x:c r="K20" s="24" t="str">
        <x:f>IF($A20="","",IF(OR($G20="Complete",$G20="N/A"),"Closed","Open"))</x:f>
        <x:v>Open</x:v>
      </x:c>
    </x:row>
    <x:row r="21" ht="28" customHeight="1">
      <x:c r="A21" s="25" t="inlineStr">
        <x:is>
          <x:t xml:space="preserve">SC-15</x:t>
        </x:is>
      </x:c>
      <x:c r="B21" s="26" t="inlineStr">
        <x:is>
          <x:t xml:space="preserve">Production</x:t>
        </x:is>
      </x:c>
      <x:c r="C21" s="27" t="inlineStr">
        <x:is>
          <x:t xml:space="preserve">Open and validate final files (virus scan / print / page count / broken links check).</x:t>
        </x:is>
      </x:c>
      <x:c r="D21" s="27" t="inlineStr">
        <x:is>
          <x:t xml:space="preserve">Last-minute file corruption or rendering issues are common preventable failures.</x:t>
        </x:is>
      </x:c>
      <x:c r="E21" s="28" t="n"/>
      <x:c r="F21" s="29" t="n"/>
      <x:c r="G21" s="15" t="inlineStr">
        <x:is>
          <x:t xml:space="preserve">Not Started</x:t>
        </x:is>
      </x:c>
      <x:c r="H21" s="28" t="n"/>
      <x:c r="I21" s="23" t="n"/>
      <x:c r="J21" s="27" t="n"/>
      <x:c r="K21" s="24" t="str">
        <x:f>IF($A21="","",IF(OR($G21="Complete",$G21="N/A"),"Closed","Open"))</x:f>
        <x:v>Open</x:v>
      </x:c>
    </x:row>
    <x:row r="22" ht="28" customHeight="1">
      <x:c r="A22" s="25" t="inlineStr">
        <x:is>
          <x:t xml:space="preserve">SC-16</x:t>
        </x:is>
      </x:c>
      <x:c r="B22" s="26" t="inlineStr">
        <x:is>
          <x:t xml:space="preserve">Submission</x:t>
        </x:is>
      </x:c>
      <x:c r="C22" s="27" t="inlineStr">
        <x:is>
          <x:t xml:space="preserve">Submit early and save proof of submission / receipt.</x:t>
        </x:is>
      </x:c>
      <x:c r="D22" s="27" t="inlineStr">
        <x:is>
          <x:t xml:space="preserve">Proof matters if there is later dispute about timeliness or completeness.</x:t>
        </x:is>
      </x:c>
      <x:c r="E22" s="28" t="n"/>
      <x:c r="F22" s="29" t="n"/>
      <x:c r="G22" s="15" t="inlineStr">
        <x:is>
          <x:t xml:space="preserve">Not Started</x:t>
        </x:is>
      </x:c>
      <x:c r="H22" s="28" t="n"/>
      <x:c r="I22" s="23" t="n"/>
      <x:c r="J22" s="27" t="n"/>
      <x:c r="K22" s="24" t="str">
        <x:f>IF($A22="","",IF(OR($G22="Complete",$G22="N/A"),"Closed","Open"))</x:f>
        <x:v>Open</x:v>
      </x:c>
    </x:row>
    <x:row r="23" ht="28" customHeight="1">
      <x:c r="A23" s="25" t="n"/>
      <x:c r="B23" s="26" t="n"/>
      <x:c r="C23" s="27" t="n"/>
      <x:c r="D23" s="27" t="n"/>
      <x:c r="E23" s="28" t="n"/>
      <x:c r="F23" s="29" t="n"/>
      <x:c r="G23" s="15" t="n"/>
      <x:c r="H23" s="28" t="n"/>
      <x:c r="I23" s="23" t="n"/>
      <x:c r="J23" s="27" t="n"/>
      <x:c r="K23" s="24">
        <x:f>IF($A23="","",IF(OR($G23="Complete",$G23="N/A"),"Closed","Open"))</x:f>
      </x:c>
    </x:row>
    <x:row r="24" ht="28" customHeight="1">
      <x:c r="A24" s="25" t="n"/>
      <x:c r="B24" s="26" t="n"/>
      <x:c r="C24" s="27" t="n"/>
      <x:c r="D24" s="27" t="n"/>
      <x:c r="E24" s="28" t="n"/>
      <x:c r="F24" s="29" t="n"/>
      <x:c r="G24" s="15" t="n"/>
      <x:c r="H24" s="28" t="n"/>
      <x:c r="I24" s="23" t="n"/>
      <x:c r="J24" s="27" t="n"/>
      <x:c r="K24" s="24">
        <x:f>IF($A24="","",IF(OR($G24="Complete",$G24="N/A"),"Closed","Open"))</x:f>
      </x:c>
    </x:row>
    <x:row r="25" ht="28" customHeight="1">
      <x:c r="A25" s="25" t="n"/>
      <x:c r="B25" s="26" t="n"/>
      <x:c r="C25" s="27" t="n"/>
      <x:c r="D25" s="27" t="n"/>
      <x:c r="E25" s="28" t="n"/>
      <x:c r="F25" s="29" t="n"/>
      <x:c r="G25" s="15" t="n"/>
      <x:c r="H25" s="28" t="n"/>
      <x:c r="I25" s="23" t="n"/>
      <x:c r="J25" s="27" t="n"/>
      <x:c r="K25" s="24">
        <x:f>IF($A25="","",IF(OR($G25="Complete",$G25="N/A"),"Closed","Open"))</x:f>
      </x:c>
    </x:row>
    <x:row r="26" ht="28" customHeight="1">
      <x:c r="A26" s="25" t="n"/>
      <x:c r="B26" s="26" t="n"/>
      <x:c r="C26" s="27" t="n"/>
      <x:c r="D26" s="27" t="n"/>
      <x:c r="E26" s="28" t="n"/>
      <x:c r="F26" s="29" t="n"/>
      <x:c r="G26" s="15" t="n"/>
      <x:c r="H26" s="28" t="n"/>
      <x:c r="I26" s="23" t="n"/>
      <x:c r="J26" s="27" t="n"/>
      <x:c r="K26" s="24">
        <x:f>IF($A26="","",IF(OR($G26="Complete",$G26="N/A"),"Closed","Open"))</x:f>
      </x:c>
    </x:row>
    <x:row r="27" ht="28" customHeight="1">
      <x:c r="A27" s="25" t="n"/>
      <x:c r="B27" s="26" t="n"/>
      <x:c r="C27" s="27" t="n"/>
      <x:c r="D27" s="27" t="n"/>
      <x:c r="E27" s="28" t="n"/>
      <x:c r="F27" s="29" t="n"/>
      <x:c r="G27" s="15" t="n"/>
      <x:c r="H27" s="28" t="n"/>
      <x:c r="I27" s="23" t="n"/>
      <x:c r="J27" s="27" t="n"/>
      <x:c r="K27" s="24">
        <x:f>IF($A27="","",IF(OR($G27="Complete",$G27="N/A"),"Closed","Open"))</x:f>
      </x:c>
    </x:row>
    <x:row r="28" ht="28" customHeight="1">
      <x:c r="A28" s="25" t="n"/>
      <x:c r="B28" s="26" t="n"/>
      <x:c r="C28" s="27" t="n"/>
      <x:c r="D28" s="27" t="n"/>
      <x:c r="E28" s="28" t="n"/>
      <x:c r="F28" s="29" t="n"/>
      <x:c r="G28" s="15" t="n"/>
      <x:c r="H28" s="28" t="n"/>
      <x:c r="I28" s="23" t="n"/>
      <x:c r="J28" s="27" t="n"/>
      <x:c r="K28" s="24">
        <x:f>IF($A28="","",IF(OR($G28="Complete",$G28="N/A"),"Closed","Open"))</x:f>
      </x:c>
    </x:row>
    <x:row r="29" ht="28" customHeight="1">
      <x:c r="A29" s="25" t="n"/>
      <x:c r="B29" s="26" t="n"/>
      <x:c r="C29" s="27" t="n"/>
      <x:c r="D29" s="27" t="n"/>
      <x:c r="E29" s="28" t="n"/>
      <x:c r="F29" s="29" t="n"/>
      <x:c r="G29" s="15" t="n"/>
      <x:c r="H29" s="28" t="n"/>
      <x:c r="I29" s="23" t="n"/>
      <x:c r="J29" s="27" t="n"/>
      <x:c r="K29" s="24">
        <x:f>IF($A29="","",IF(OR($G29="Complete",$G29="N/A"),"Closed","Open"))</x:f>
      </x:c>
    </x:row>
    <x:row r="30" ht="28" customHeight="1">
      <x:c r="A30" s="25" t="n"/>
      <x:c r="B30" s="26" t="n"/>
      <x:c r="C30" s="27" t="n"/>
      <x:c r="D30" s="27" t="n"/>
      <x:c r="E30" s="28" t="n"/>
      <x:c r="F30" s="29" t="n"/>
      <x:c r="G30" s="15" t="n"/>
      <x:c r="H30" s="28" t="n"/>
      <x:c r="I30" s="23" t="n"/>
      <x:c r="J30" s="27" t="n"/>
      <x:c r="K30" s="24">
        <x:f>IF($A30="","",IF(OR($G30="Complete",$G30="N/A"),"Closed","Open"))</x:f>
      </x:c>
    </x:row>
    <x:row r="31" ht="28" customHeight="1">
      <x:c r="A31" s="25" t="n"/>
      <x:c r="B31" s="26" t="n"/>
      <x:c r="C31" s="27" t="n"/>
      <x:c r="D31" s="27" t="n"/>
      <x:c r="E31" s="28" t="n"/>
      <x:c r="F31" s="29" t="n"/>
      <x:c r="G31" s="15" t="n"/>
      <x:c r="H31" s="28" t="n"/>
      <x:c r="I31" s="23" t="n"/>
      <x:c r="J31" s="27" t="n"/>
      <x:c r="K31" s="24">
        <x:f>IF($A31="","",IF(OR($G31="Complete",$G31="N/A"),"Closed","Open"))</x:f>
      </x:c>
    </x:row>
    <x:row r="32" ht="28" customHeight="1">
      <x:c r="A32" s="25" t="n"/>
      <x:c r="B32" s="26" t="n"/>
      <x:c r="C32" s="27" t="n"/>
      <x:c r="D32" s="27" t="n"/>
      <x:c r="E32" s="28" t="n"/>
      <x:c r="F32" s="29" t="n"/>
      <x:c r="G32" s="15" t="n"/>
      <x:c r="H32" s="28" t="n"/>
      <x:c r="I32" s="23" t="n"/>
      <x:c r="J32" s="27" t="n"/>
      <x:c r="K32" s="24">
        <x:f>IF($A32="","",IF(OR($G32="Complete",$G32="N/A"),"Closed","Open"))</x:f>
      </x:c>
    </x:row>
  </x:sheetData>
  <x:mergeCells>
    <x:mergeCell ref="A2:K2"/>
    <x:mergeCell ref="A1:K1"/>
    <x:mergeCell ref="A4:K4"/>
  </x:mergeCells>
  <x:conditionalFormatting sqref="G7:G32">
    <x:cfRule type="expression" dxfId="4" priority="1">
      <x:formula>$G7="Not Started"</x:formula>
    </x:cfRule>
    <x:cfRule type="expression" dxfId="5" priority="2">
      <x:formula>$G7="In Progress"</x:formula>
    </x:cfRule>
    <x:cfRule type="expression" dxfId="2" priority="3">
      <x:formula>$G7="Ready"</x:formula>
    </x:cfRule>
    <x:cfRule type="expression" dxfId="1" priority="4">
      <x:formula>$G7="Complete"</x:formula>
    </x:cfRule>
    <x:cfRule type="expression" dxfId="4" priority="5">
      <x:formula>$G7="N/A"</x:formula>
    </x:cfRule>
  </x:conditionalFormatting>
  <x:conditionalFormatting sqref="K7:K32">
    <x:cfRule type="expression" dxfId="0" priority="6">
      <x:formula>$K7="Open"</x:formula>
    </x:cfRule>
    <x:cfRule type="expression" dxfId="1" priority="7">
      <x:formula>$K7="Closed"</x:formula>
    </x:cfRule>
  </x:conditionalFormatting>
  <x:dataValidations count="2">
    <x:dataValidation type="list" allowBlank="1" showDropDown="0" showInputMessage="0" showErrorMessage="0" sqref="B7:B32">
      <x:formula1>=Lists!$R$2:$R$10</x:formula1>
    </x:dataValidation>
    <x:dataValidation type="list" allowBlank="1" showDropDown="0" showInputMessage="0" showErrorMessage="0" sqref="G7:G32">
      <x:formula1>=Lists!$H$2:$H$6</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2" customWidth="1"/>
    <x:col min="2" max="2" width="12" customWidth="1"/>
    <x:col min="3" max="3" width="20" customWidth="1"/>
    <x:col min="4" max="4" width="34" customWidth="1"/>
    <x:col min="5" max="5" width="18" customWidth="1"/>
    <x:col min="6" max="6" width="24" customWidth="1"/>
    <x:col min="7" max="7" width="16" customWidth="1"/>
    <x:col min="8" max="8" width="14" customWidth="1"/>
    <x:col min="9" max="9" width="24" customWidth="1"/>
    <x:col min="10" max="10" width="30" customWidth="1"/>
  </x:cols>
  <x:sheetData>
    <x:row r="1" ht="28" customHeight="1">
      <x:c r="A1" s="1" t="inlineStr">
        <x:is>
          <x:t xml:space="preserve">Pricing &amp; Deliverables Map</x:t>
        </x:is>
      </x:c>
      <x:c r="B1" s="1" t="n"/>
      <x:c r="C1" s="1" t="n"/>
      <x:c r="D1" s="1" t="n"/>
      <x:c r="E1" s="1" t="n"/>
      <x:c r="F1" s="1" t="n"/>
      <x:c r="G1" s="1" t="n"/>
      <x:c r="H1" s="1" t="n"/>
      <x:c r="I1" s="1" t="n"/>
      <x:c r="J1" s="1" t="n"/>
    </x:row>
    <x:row r="2" ht="28" customHeight="1">
      <x:c r="A2" s="2" t="inlineStr">
        <x:is>
          <x:t xml:space="preserve">Track CLINs, deliverables, attachments, and where each item is addressed in the price volume or supporting files.</x:t>
        </x:is>
      </x:c>
      <x:c r="B2" s="2" t="n"/>
      <x:c r="C2" s="2" t="n"/>
      <x:c r="D2" s="2" t="n"/>
      <x:c r="E2" s="2" t="n"/>
      <x:c r="F2" s="2" t="n"/>
      <x:c r="G2" s="2" t="n"/>
      <x:c r="H2" s="2" t="n"/>
      <x:c r="I2" s="2" t="n"/>
      <x:c r="J2" s="2" t="n"/>
    </x:row>
    <x:row r="3" ht="28" customHeight="1"/>
    <x:row r="4" ht="28" customHeight="1">
      <x:c r="A4" s="17" t="inlineStr">
        <x:is>
          <x:t xml:space="preserve">Use one row per CLIN / deliverable / attachment that affects pricing, completeness, or contract performance tracking.</x:t>
        </x:is>
      </x:c>
      <x:c r="B4" s="17" t="n"/>
      <x:c r="C4" s="17" t="n"/>
      <x:c r="D4" s="17" t="n"/>
      <x:c r="E4" s="17" t="n"/>
      <x:c r="F4" s="17" t="n"/>
      <x:c r="G4" s="17" t="n"/>
      <x:c r="H4" s="17" t="n"/>
      <x:c r="I4" s="17" t="n"/>
      <x:c r="J4" s="17" t="n"/>
    </x:row>
    <x:row r="5" ht="28" customHeight="1"/>
    <x:row r="6" ht="34" customHeight="1">
      <x:c r="A6" s="13" t="inlineStr">
        <x:is>
          <x:t xml:space="preserve">Item ID</x:t>
        </x:is>
      </x:c>
      <x:c r="B6" s="13" t="inlineStr">
        <x:is>
          <x:t xml:space="preserve">Item Type</x:t>
        </x:is>
      </x:c>
      <x:c r="C6" s="13" t="inlineStr">
        <x:is>
          <x:t xml:space="preserve">Source Citation</x:t>
        </x:is>
      </x:c>
      <x:c r="D6" s="13" t="inlineStr">
        <x:is>
          <x:t xml:space="preserve">Description</x:t>
        </x:is>
      </x:c>
      <x:c r="E6" s="13" t="inlineStr">
        <x:is>
          <x:t xml:space="preserve">Related Requirement IDs</x:t>
        </x:is>
      </x:c>
      <x:c r="F6" s="13" t="inlineStr">
        <x:is>
          <x:t xml:space="preserve">Price / Proposal Location</x:t>
        </x:is>
      </x:c>
      <x:c r="G6" s="13" t="inlineStr">
        <x:is>
          <x:t xml:space="preserve">Owner</x:t>
        </x:is>
      </x:c>
      <x:c r="H6" s="13" t="inlineStr">
        <x:is>
          <x:t xml:space="preserve">Status</x:t>
        </x:is>
      </x:c>
      <x:c r="I6" s="13" t="inlineStr">
        <x:is>
          <x:t xml:space="preserve">Notes</x:t>
        </x:is>
      </x:c>
      <x:c r="J6" s="13" t="inlineStr">
        <x:is>
          <x:t xml:space="preserve">Source URL</x:t>
        </x:is>
      </x:c>
    </x:row>
    <x:row r="7" ht="28" customHeight="1">
      <x:c r="A7" s="21" t="n"/>
      <x:c r="B7" s="21" t="n"/>
      <x:c r="C7" s="23" t="n"/>
      <x:c r="D7" s="21" t="n"/>
      <x:c r="E7" s="21" t="n"/>
      <x:c r="F7" s="21" t="n"/>
      <x:c r="G7" s="21" t="n"/>
      <x:c r="H7" s="15" t="n"/>
      <x:c r="I7" s="27" t="n"/>
      <x:c r="J7" s="23" t="n"/>
    </x:row>
    <x:row r="8" ht="28" customHeight="1">
      <x:c r="A8" s="21" t="n"/>
      <x:c r="B8" s="21" t="n"/>
      <x:c r="C8" s="23" t="n"/>
      <x:c r="D8" s="21" t="n"/>
      <x:c r="E8" s="21" t="n"/>
      <x:c r="F8" s="21" t="n"/>
      <x:c r="G8" s="21" t="n"/>
      <x:c r="H8" s="15" t="n"/>
      <x:c r="I8" s="27" t="n"/>
      <x:c r="J8" s="23" t="n"/>
    </x:row>
    <x:row r="9" ht="28" customHeight="1">
      <x:c r="A9" s="21" t="n"/>
      <x:c r="B9" s="21" t="n"/>
      <x:c r="C9" s="23" t="n"/>
      <x:c r="D9" s="21" t="n"/>
      <x:c r="E9" s="21" t="n"/>
      <x:c r="F9" s="21" t="n"/>
      <x:c r="G9" s="21" t="n"/>
      <x:c r="H9" s="15" t="n"/>
      <x:c r="I9" s="27" t="n"/>
      <x:c r="J9" s="23" t="n"/>
    </x:row>
    <x:row r="10" ht="28" customHeight="1">
      <x:c r="A10" s="21" t="n"/>
      <x:c r="B10" s="21" t="n"/>
      <x:c r="C10" s="23" t="n"/>
      <x:c r="D10" s="21" t="n"/>
      <x:c r="E10" s="21" t="n"/>
      <x:c r="F10" s="21" t="n"/>
      <x:c r="G10" s="21" t="n"/>
      <x:c r="H10" s="15" t="n"/>
      <x:c r="I10" s="27" t="n"/>
      <x:c r="J10" s="23" t="n"/>
    </x:row>
    <x:row r="11" ht="28" customHeight="1">
      <x:c r="A11" s="21" t="n"/>
      <x:c r="B11" s="21" t="n"/>
      <x:c r="C11" s="23" t="n"/>
      <x:c r="D11" s="21" t="n"/>
      <x:c r="E11" s="21" t="n"/>
      <x:c r="F11" s="21" t="n"/>
      <x:c r="G11" s="21" t="n"/>
      <x:c r="H11" s="15" t="n"/>
      <x:c r="I11" s="27" t="n"/>
      <x:c r="J11" s="23" t="n"/>
    </x:row>
    <x:row r="12" ht="28" customHeight="1">
      <x:c r="A12" s="21" t="n"/>
      <x:c r="B12" s="21" t="n"/>
      <x:c r="C12" s="23" t="n"/>
      <x:c r="D12" s="21" t="n"/>
      <x:c r="E12" s="21" t="n"/>
      <x:c r="F12" s="21" t="n"/>
      <x:c r="G12" s="21" t="n"/>
      <x:c r="H12" s="15" t="n"/>
      <x:c r="I12" s="27" t="n"/>
      <x:c r="J12" s="23" t="n"/>
    </x:row>
    <x:row r="13" ht="28" customHeight="1">
      <x:c r="A13" s="21" t="n"/>
      <x:c r="B13" s="21" t="n"/>
      <x:c r="C13" s="23" t="n"/>
      <x:c r="D13" s="21" t="n"/>
      <x:c r="E13" s="21" t="n"/>
      <x:c r="F13" s="21" t="n"/>
      <x:c r="G13" s="21" t="n"/>
      <x:c r="H13" s="15" t="n"/>
      <x:c r="I13" s="27" t="n"/>
      <x:c r="J13" s="23" t="n"/>
    </x:row>
    <x:row r="14" ht="28" customHeight="1">
      <x:c r="A14" s="21" t="n"/>
      <x:c r="B14" s="21" t="n"/>
      <x:c r="C14" s="23" t="n"/>
      <x:c r="D14" s="21" t="n"/>
      <x:c r="E14" s="21" t="n"/>
      <x:c r="F14" s="21" t="n"/>
      <x:c r="G14" s="21" t="n"/>
      <x:c r="H14" s="15" t="n"/>
      <x:c r="I14" s="27" t="n"/>
      <x:c r="J14" s="23" t="n"/>
    </x:row>
    <x:row r="15" ht="28" customHeight="1">
      <x:c r="A15" s="21" t="n"/>
      <x:c r="B15" s="21" t="n"/>
      <x:c r="C15" s="23" t="n"/>
      <x:c r="D15" s="21" t="n"/>
      <x:c r="E15" s="21" t="n"/>
      <x:c r="F15" s="21" t="n"/>
      <x:c r="G15" s="21" t="n"/>
      <x:c r="H15" s="15" t="n"/>
      <x:c r="I15" s="27" t="n"/>
      <x:c r="J15" s="23" t="n"/>
    </x:row>
    <x:row r="16" ht="28" customHeight="1">
      <x:c r="A16" s="21" t="n"/>
      <x:c r="B16" s="21" t="n"/>
      <x:c r="C16" s="23" t="n"/>
      <x:c r="D16" s="21" t="n"/>
      <x:c r="E16" s="21" t="n"/>
      <x:c r="F16" s="21" t="n"/>
      <x:c r="G16" s="21" t="n"/>
      <x:c r="H16" s="15" t="n"/>
      <x:c r="I16" s="27" t="n"/>
      <x:c r="J16" s="23" t="n"/>
    </x:row>
    <x:row r="17" ht="28" customHeight="1">
      <x:c r="A17" s="21" t="n"/>
      <x:c r="B17" s="21" t="n"/>
      <x:c r="C17" s="23" t="n"/>
      <x:c r="D17" s="21" t="n"/>
      <x:c r="E17" s="21" t="n"/>
      <x:c r="F17" s="21" t="n"/>
      <x:c r="G17" s="21" t="n"/>
      <x:c r="H17" s="15" t="n"/>
      <x:c r="I17" s="27" t="n"/>
      <x:c r="J17" s="23" t="n"/>
    </x:row>
    <x:row r="18" ht="28" customHeight="1">
      <x:c r="A18" s="21" t="n"/>
      <x:c r="B18" s="21" t="n"/>
      <x:c r="C18" s="23" t="n"/>
      <x:c r="D18" s="21" t="n"/>
      <x:c r="E18" s="21" t="n"/>
      <x:c r="F18" s="21" t="n"/>
      <x:c r="G18" s="21" t="n"/>
      <x:c r="H18" s="15" t="n"/>
      <x:c r="I18" s="27" t="n"/>
      <x:c r="J18" s="23" t="n"/>
    </x:row>
    <x:row r="19" ht="28" customHeight="1">
      <x:c r="A19" s="21" t="n"/>
      <x:c r="B19" s="21" t="n"/>
      <x:c r="C19" s="23" t="n"/>
      <x:c r="D19" s="21" t="n"/>
      <x:c r="E19" s="21" t="n"/>
      <x:c r="F19" s="21" t="n"/>
      <x:c r="G19" s="21" t="n"/>
      <x:c r="H19" s="15" t="n"/>
      <x:c r="I19" s="27" t="n"/>
      <x:c r="J19" s="23" t="n"/>
    </x:row>
    <x:row r="20" ht="28" customHeight="1">
      <x:c r="A20" s="21" t="n"/>
      <x:c r="B20" s="21" t="n"/>
      <x:c r="C20" s="23" t="n"/>
      <x:c r="D20" s="21" t="n"/>
      <x:c r="E20" s="21" t="n"/>
      <x:c r="F20" s="21" t="n"/>
      <x:c r="G20" s="21" t="n"/>
      <x:c r="H20" s="15" t="n"/>
      <x:c r="I20" s="27" t="n"/>
      <x:c r="J20" s="23" t="n"/>
    </x:row>
    <x:row r="21" ht="28" customHeight="1">
      <x:c r="A21" s="21" t="n"/>
      <x:c r="B21" s="21" t="n"/>
      <x:c r="C21" s="23" t="n"/>
      <x:c r="D21" s="21" t="n"/>
      <x:c r="E21" s="21" t="n"/>
      <x:c r="F21" s="21" t="n"/>
      <x:c r="G21" s="21" t="n"/>
      <x:c r="H21" s="15" t="n"/>
      <x:c r="I21" s="27" t="n"/>
      <x:c r="J21" s="23" t="n"/>
    </x:row>
    <x:row r="22" ht="28" customHeight="1">
      <x:c r="A22" s="21" t="n"/>
      <x:c r="B22" s="21" t="n"/>
      <x:c r="C22" s="23" t="n"/>
      <x:c r="D22" s="21" t="n"/>
      <x:c r="E22" s="21" t="n"/>
      <x:c r="F22" s="21" t="n"/>
      <x:c r="G22" s="21" t="n"/>
      <x:c r="H22" s="15" t="n"/>
      <x:c r="I22" s="27" t="n"/>
      <x:c r="J22" s="23" t="n"/>
    </x:row>
    <x:row r="23" ht="28" customHeight="1">
      <x:c r="A23" s="21" t="n"/>
      <x:c r="B23" s="21" t="n"/>
      <x:c r="C23" s="23" t="n"/>
      <x:c r="D23" s="21" t="n"/>
      <x:c r="E23" s="21" t="n"/>
      <x:c r="F23" s="21" t="n"/>
      <x:c r="G23" s="21" t="n"/>
      <x:c r="H23" s="15" t="n"/>
      <x:c r="I23" s="27" t="n"/>
      <x:c r="J23" s="23" t="n"/>
    </x:row>
    <x:row r="24" ht="28" customHeight="1">
      <x:c r="A24" s="21" t="n"/>
      <x:c r="B24" s="21" t="n"/>
      <x:c r="C24" s="23" t="n"/>
      <x:c r="D24" s="21" t="n"/>
      <x:c r="E24" s="21" t="n"/>
      <x:c r="F24" s="21" t="n"/>
      <x:c r="G24" s="21" t="n"/>
      <x:c r="H24" s="15" t="n"/>
      <x:c r="I24" s="27" t="n"/>
      <x:c r="J24" s="23" t="n"/>
    </x:row>
    <x:row r="25" ht="28" customHeight="1">
      <x:c r="A25" s="21" t="n"/>
      <x:c r="B25" s="21" t="n"/>
      <x:c r="C25" s="23" t="n"/>
      <x:c r="D25" s="21" t="n"/>
      <x:c r="E25" s="21" t="n"/>
      <x:c r="F25" s="21" t="n"/>
      <x:c r="G25" s="21" t="n"/>
      <x:c r="H25" s="15" t="n"/>
      <x:c r="I25" s="27" t="n"/>
      <x:c r="J25" s="23" t="n"/>
    </x:row>
    <x:row r="26" ht="28" customHeight="1">
      <x:c r="A26" s="21" t="n"/>
      <x:c r="B26" s="21" t="n"/>
      <x:c r="C26" s="23" t="n"/>
      <x:c r="D26" s="21" t="n"/>
      <x:c r="E26" s="21" t="n"/>
      <x:c r="F26" s="21" t="n"/>
      <x:c r="G26" s="21" t="n"/>
      <x:c r="H26" s="15" t="n"/>
      <x:c r="I26" s="27" t="n"/>
      <x:c r="J26" s="23" t="n"/>
    </x:row>
    <x:row r="27" ht="28" customHeight="1">
      <x:c r="A27" s="21" t="n"/>
      <x:c r="B27" s="21" t="n"/>
      <x:c r="C27" s="23" t="n"/>
      <x:c r="D27" s="21" t="n"/>
      <x:c r="E27" s="21" t="n"/>
      <x:c r="F27" s="21" t="n"/>
      <x:c r="G27" s="21" t="n"/>
      <x:c r="H27" s="15" t="n"/>
      <x:c r="I27" s="27" t="n"/>
      <x:c r="J27" s="23" t="n"/>
    </x:row>
    <x:row r="28" ht="28" customHeight="1">
      <x:c r="A28" s="21" t="n"/>
      <x:c r="B28" s="21" t="n"/>
      <x:c r="C28" s="23" t="n"/>
      <x:c r="D28" s="21" t="n"/>
      <x:c r="E28" s="21" t="n"/>
      <x:c r="F28" s="21" t="n"/>
      <x:c r="G28" s="21" t="n"/>
      <x:c r="H28" s="15" t="n"/>
      <x:c r="I28" s="27" t="n"/>
      <x:c r="J28" s="23" t="n"/>
    </x:row>
    <x:row r="29" ht="28" customHeight="1">
      <x:c r="A29" s="21" t="n"/>
      <x:c r="B29" s="21" t="n"/>
      <x:c r="C29" s="23" t="n"/>
      <x:c r="D29" s="21" t="n"/>
      <x:c r="E29" s="21" t="n"/>
      <x:c r="F29" s="21" t="n"/>
      <x:c r="G29" s="21" t="n"/>
      <x:c r="H29" s="15" t="n"/>
      <x:c r="I29" s="27" t="n"/>
      <x:c r="J29" s="23" t="n"/>
    </x:row>
    <x:row r="30" ht="28" customHeight="1">
      <x:c r="A30" s="21" t="n"/>
      <x:c r="B30" s="21" t="n"/>
      <x:c r="C30" s="23" t="n"/>
      <x:c r="D30" s="21" t="n"/>
      <x:c r="E30" s="21" t="n"/>
      <x:c r="F30" s="21" t="n"/>
      <x:c r="G30" s="21" t="n"/>
      <x:c r="H30" s="15" t="n"/>
      <x:c r="I30" s="27" t="n"/>
      <x:c r="J30" s="23" t="n"/>
    </x:row>
    <x:row r="31" ht="28" customHeight="1">
      <x:c r="A31" s="21" t="n"/>
      <x:c r="B31" s="21" t="n"/>
      <x:c r="C31" s="23" t="n"/>
      <x:c r="D31" s="21" t="n"/>
      <x:c r="E31" s="21" t="n"/>
      <x:c r="F31" s="21" t="n"/>
      <x:c r="G31" s="21" t="n"/>
      <x:c r="H31" s="15" t="n"/>
      <x:c r="I31" s="27" t="n"/>
      <x:c r="J31" s="23" t="n"/>
    </x:row>
    <x:row r="32" ht="28" customHeight="1">
      <x:c r="A32" s="21" t="n"/>
      <x:c r="B32" s="21" t="n"/>
      <x:c r="C32" s="23" t="n"/>
      <x:c r="D32" s="21" t="n"/>
      <x:c r="E32" s="21" t="n"/>
      <x:c r="F32" s="21" t="n"/>
      <x:c r="G32" s="21" t="n"/>
      <x:c r="H32" s="15" t="n"/>
      <x:c r="I32" s="27" t="n"/>
      <x:c r="J32" s="23" t="n"/>
    </x:row>
    <x:row r="33" ht="28" customHeight="1">
      <x:c r="A33" s="21" t="n"/>
      <x:c r="B33" s="21" t="n"/>
      <x:c r="C33" s="23" t="n"/>
      <x:c r="D33" s="21" t="n"/>
      <x:c r="E33" s="21" t="n"/>
      <x:c r="F33" s="21" t="n"/>
      <x:c r="G33" s="21" t="n"/>
      <x:c r="H33" s="15" t="n"/>
      <x:c r="I33" s="27" t="n"/>
      <x:c r="J33" s="23" t="n"/>
    </x:row>
    <x:row r="34" ht="28" customHeight="1">
      <x:c r="A34" s="21" t="n"/>
      <x:c r="B34" s="21" t="n"/>
      <x:c r="C34" s="23" t="n"/>
      <x:c r="D34" s="21" t="n"/>
      <x:c r="E34" s="21" t="n"/>
      <x:c r="F34" s="21" t="n"/>
      <x:c r="G34" s="21" t="n"/>
      <x:c r="H34" s="15" t="n"/>
      <x:c r="I34" s="27" t="n"/>
      <x:c r="J34" s="23" t="n"/>
    </x:row>
    <x:row r="35" ht="28" customHeight="1">
      <x:c r="A35" s="21" t="n"/>
      <x:c r="B35" s="21" t="n"/>
      <x:c r="C35" s="23" t="n"/>
      <x:c r="D35" s="21" t="n"/>
      <x:c r="E35" s="21" t="n"/>
      <x:c r="F35" s="21" t="n"/>
      <x:c r="G35" s="21" t="n"/>
      <x:c r="H35" s="15" t="n"/>
      <x:c r="I35" s="27" t="n"/>
      <x:c r="J35" s="23" t="n"/>
    </x:row>
    <x:row r="36" ht="28" customHeight="1">
      <x:c r="A36" s="21" t="n"/>
      <x:c r="B36" s="21" t="n"/>
      <x:c r="C36" s="23" t="n"/>
      <x:c r="D36" s="21" t="n"/>
      <x:c r="E36" s="21" t="n"/>
      <x:c r="F36" s="21" t="n"/>
      <x:c r="G36" s="21" t="n"/>
      <x:c r="H36" s="15" t="n"/>
      <x:c r="I36" s="27" t="n"/>
      <x:c r="J36" s="23" t="n"/>
    </x:row>
    <x:row r="37" ht="28" customHeight="1">
      <x:c r="A37" s="21" t="n"/>
      <x:c r="B37" s="21" t="n"/>
      <x:c r="C37" s="23" t="n"/>
      <x:c r="D37" s="21" t="n"/>
      <x:c r="E37" s="21" t="n"/>
      <x:c r="F37" s="21" t="n"/>
      <x:c r="G37" s="21" t="n"/>
      <x:c r="H37" s="15" t="n"/>
      <x:c r="I37" s="27" t="n"/>
      <x:c r="J37" s="23" t="n"/>
    </x:row>
  </x:sheetData>
  <x:mergeCells>
    <x:mergeCell ref="A1:J1"/>
    <x:mergeCell ref="A4:J4"/>
    <x:mergeCell ref="A2:J2"/>
  </x:mergeCells>
  <x:conditionalFormatting sqref="H7:H37">
    <x:cfRule type="expression" dxfId="4" priority="1">
      <x:formula>$H7="Open"</x:formula>
    </x:cfRule>
    <x:cfRule type="expression" dxfId="5" priority="2">
      <x:formula>$H7="In Progress"</x:formula>
    </x:cfRule>
    <x:cfRule type="expression" dxfId="0" priority="3">
      <x:formula>$H7="In Review"</x:formula>
    </x:cfRule>
    <x:cfRule type="expression" dxfId="1" priority="4">
      <x:formula>$H7="Final"</x:formula>
    </x:cfRule>
  </x:conditionalFormatting>
  <x:dataValidations count="2">
    <x:dataValidation type="list" allowBlank="1" showDropDown="0" showInputMessage="0" showErrorMessage="0" sqref="B7:B37">
      <x:formula1>=Lists!$I$2:$I$10</x:formula1>
    </x:dataValidation>
    <x:dataValidation type="list" allowBlank="1" showDropDown="0" showInputMessage="0" showErrorMessage="0" sqref="H7:H37">
      <x:formula1>=Lists!$G$2:$G$5</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11" customWidth="1"/>
    <x:col min="2" max="2" width="12" customWidth="1"/>
    <x:col min="3" max="3" width="10" customWidth="1"/>
    <x:col min="4" max="4" width="36" customWidth="1"/>
    <x:col min="5" max="5" width="18" customWidth="1"/>
    <x:col min="6" max="6" width="14" customWidth="1"/>
    <x:col min="7" max="7" width="24" customWidth="1"/>
    <x:col min="8" max="8" width="14" customWidth="1"/>
    <x:col min="9" max="9" width="14" customWidth="1"/>
    <x:col min="10" max="10" width="26" customWidth="1"/>
    <x:col min="11" max="11" width="14" customWidth="1"/>
  </x:cols>
  <x:sheetData>
    <x:row r="1" ht="28" customHeight="1">
      <x:c r="A1" s="1" t="inlineStr">
        <x:is>
          <x:t xml:space="preserve">Questions, Risks, Assumptions &amp; Decisions</x:t>
        </x:is>
      </x:c>
      <x:c r="B1" s="1" t="n"/>
      <x:c r="C1" s="1" t="n"/>
      <x:c r="D1" s="1" t="n"/>
      <x:c r="E1" s="1" t="n"/>
      <x:c r="F1" s="1" t="n"/>
      <x:c r="G1" s="1" t="n"/>
      <x:c r="H1" s="1" t="n"/>
      <x:c r="I1" s="1" t="n"/>
      <x:c r="J1" s="1" t="n"/>
      <x:c r="K1" s="1" t="n"/>
    </x:row>
    <x:row r="2" ht="28" customHeight="1">
      <x:c r="A2" s="2" t="inlineStr">
        <x:is>
          <x:t xml:space="preserve">Manage ambiguities in the RFP, internal decisions, customer questions, and risk treatment actions.</x:t>
        </x:is>
      </x:c>
      <x:c r="B2" s="2" t="n"/>
      <x:c r="C2" s="2" t="n"/>
      <x:c r="D2" s="2" t="n"/>
      <x:c r="E2" s="2" t="n"/>
      <x:c r="F2" s="2" t="n"/>
      <x:c r="G2" s="2" t="n"/>
      <x:c r="H2" s="2" t="n"/>
      <x:c r="I2" s="2" t="n"/>
      <x:c r="J2" s="2" t="n"/>
      <x:c r="K2" s="2" t="n"/>
    </x:row>
    <x:row r="3" ht="28" customHeight="1"/>
    <x:row r="4" ht="28" customHeight="1">
      <x:c r="A4" s="17" t="inlineStr">
        <x:is>
          <x:t xml:space="preserve">Not every issue belongs in the matrix. Use this log for unresolved matters that need a decision, mitigation, or customer clarification.</x:t>
        </x:is>
      </x:c>
      <x:c r="B4" s="17" t="n"/>
      <x:c r="C4" s="17" t="n"/>
      <x:c r="D4" s="17" t="n"/>
      <x:c r="E4" s="17" t="n"/>
      <x:c r="F4" s="17" t="n"/>
      <x:c r="G4" s="17" t="n"/>
      <x:c r="H4" s="17" t="n"/>
      <x:c r="I4" s="17" t="n"/>
      <x:c r="J4" s="17" t="n"/>
      <x:c r="K4" s="17" t="n"/>
    </x:row>
    <x:row r="5" ht="28" customHeight="1"/>
    <x:row r="6" ht="34" customHeight="1">
      <x:c r="A6" s="13" t="inlineStr">
        <x:is>
          <x:t xml:space="preserve">Item ID</x:t>
        </x:is>
      </x:c>
      <x:c r="B6" s="13" t="inlineStr">
        <x:is>
          <x:t xml:space="preserve">Type</x:t>
        </x:is>
      </x:c>
      <x:c r="C6" s="13" t="inlineStr">
        <x:is>
          <x:t xml:space="preserve">Priority</x:t>
        </x:is>
      </x:c>
      <x:c r="D6" s="13" t="inlineStr">
        <x:is>
          <x:t xml:space="preserve">Issue / Decision</x:t>
        </x:is>
      </x:c>
      <x:c r="E6" s="13" t="inlineStr">
        <x:is>
          <x:t xml:space="preserve">Impacted Req IDs</x:t>
        </x:is>
      </x:c>
      <x:c r="F6" s="13" t="inlineStr">
        <x:is>
          <x:t xml:space="preserve">Owner</x:t>
        </x:is>
      </x:c>
      <x:c r="G6" s="13" t="inlineStr">
        <x:is>
          <x:t xml:space="preserve">Resolution Path</x:t>
        </x:is>
      </x:c>
      <x:c r="H6" s="13" t="inlineStr">
        <x:is>
          <x:t xml:space="preserve">Need Customer Q&amp;A?</x:t>
        </x:is>
      </x:c>
      <x:c r="I6" s="13" t="inlineStr">
        <x:is>
          <x:t xml:space="preserve">Status</x:t>
        </x:is>
      </x:c>
      <x:c r="J6" s="13" t="inlineStr">
        <x:is>
          <x:t xml:space="preserve">Resolution / Notes</x:t>
        </x:is>
      </x:c>
      <x:c r="K6" s="13" t="inlineStr">
        <x:is>
          <x:t xml:space="preserve">Due Date</x:t>
        </x:is>
      </x:c>
    </x:row>
    <x:row r="7" ht="28" customHeight="1">
      <x:c r="A7" s="30" t="inlineStr">
        <x:is>
          <x:t xml:space="preserve">QR-01</x:t>
        </x:is>
      </x:c>
      <x:c r="B7" s="21" t="inlineStr">
        <x:is>
          <x:t xml:space="preserve">Question</x:t>
        </x:is>
      </x:c>
      <x:c r="C7" s="21" t="inlineStr">
        <x:is>
          <x:t xml:space="preserve">High</x:t>
        </x:is>
      </x:c>
      <x:c r="D7" s="21" t="inlineStr">
        <x:is>
          <x:t xml:space="preserve">Placeholder: capture missing or ambiguous instructions from Sections L/M or the PWS.</x:t>
        </x:is>
      </x:c>
      <x:c r="E7" s="21" t="inlineStr">
        <x:is>
          <x:t xml:space="preserve"/>
        </x:is>
      </x:c>
      <x:c r="F7" s="21" t="inlineStr">
        <x:is>
          <x:t xml:space="preserve"/>
        </x:is>
      </x:c>
      <x:c r="G7" s="21" t="inlineStr">
        <x:is>
          <x:t xml:space="preserve"/>
        </x:is>
      </x:c>
      <x:c r="H7" s="15" t="inlineStr">
        <x:is>
          <x:t xml:space="preserve">Maybe</x:t>
        </x:is>
      </x:c>
      <x:c r="I7" s="15" t="inlineStr">
        <x:is>
          <x:t xml:space="preserve">Open</x:t>
        </x:is>
      </x:c>
      <x:c r="J7" s="27" t="inlineStr">
        <x:is>
          <x:t xml:space="preserve"/>
        </x:is>
      </x:c>
      <x:c r="K7" s="31" t="n"/>
    </x:row>
    <x:row r="8" ht="28" customHeight="1">
      <x:c r="A8" s="30" t="inlineStr">
        <x:is>
          <x:t xml:space="preserve">QR-02</x:t>
        </x:is>
      </x:c>
      <x:c r="B8" s="21" t="inlineStr">
        <x:is>
          <x:t xml:space="preserve">Risk</x:t>
        </x:is>
      </x:c>
      <x:c r="C8" s="21" t="inlineStr">
        <x:is>
          <x:t xml:space="preserve">Medium</x:t>
        </x:is>
      </x:c>
      <x:c r="D8" s="21" t="inlineStr">
        <x:is>
          <x:t xml:space="preserve">Placeholder: note internal gaps, teaming dependencies, or data still needed for the proposal.</x:t>
        </x:is>
      </x:c>
      <x:c r="E8" s="21" t="inlineStr">
        <x:is>
          <x:t xml:space="preserve"/>
        </x:is>
      </x:c>
      <x:c r="F8" s="21" t="inlineStr">
        <x:is>
          <x:t xml:space="preserve"/>
        </x:is>
      </x:c>
      <x:c r="G8" s="21" t="inlineStr">
        <x:is>
          <x:t xml:space="preserve"/>
        </x:is>
      </x:c>
      <x:c r="H8" s="15" t="inlineStr">
        <x:is>
          <x:t xml:space="preserve">Maybe</x:t>
        </x:is>
      </x:c>
      <x:c r="I8" s="15" t="inlineStr">
        <x:is>
          <x:t xml:space="preserve">Open</x:t>
        </x:is>
      </x:c>
      <x:c r="J8" s="27" t="inlineStr">
        <x:is>
          <x:t xml:space="preserve"/>
        </x:is>
      </x:c>
      <x:c r="K8" s="31" t="n"/>
    </x:row>
    <x:row r="9" ht="28" customHeight="1">
      <x:c r="A9" s="30" t="n"/>
      <x:c r="B9" s="21" t="n"/>
      <x:c r="C9" s="21" t="n"/>
      <x:c r="D9" s="21" t="n"/>
      <x:c r="E9" s="21" t="n"/>
      <x:c r="F9" s="21" t="n"/>
      <x:c r="G9" s="21" t="n"/>
      <x:c r="H9" s="15" t="n"/>
      <x:c r="I9" s="15" t="n"/>
      <x:c r="J9" s="27" t="n"/>
      <x:c r="K9" s="31" t="n"/>
    </x:row>
    <x:row r="10" ht="28" customHeight="1">
      <x:c r="A10" s="30" t="n"/>
      <x:c r="B10" s="21" t="n"/>
      <x:c r="C10" s="21" t="n"/>
      <x:c r="D10" s="21" t="n"/>
      <x:c r="E10" s="21" t="n"/>
      <x:c r="F10" s="21" t="n"/>
      <x:c r="G10" s="21" t="n"/>
      <x:c r="H10" s="15" t="n"/>
      <x:c r="I10" s="15" t="n"/>
      <x:c r="J10" s="27" t="n"/>
      <x:c r="K10" s="31" t="n"/>
    </x:row>
    <x:row r="11" ht="28" customHeight="1">
      <x:c r="A11" s="30" t="n"/>
      <x:c r="B11" s="21" t="n"/>
      <x:c r="C11" s="21" t="n"/>
      <x:c r="D11" s="21" t="n"/>
      <x:c r="E11" s="21" t="n"/>
      <x:c r="F11" s="21" t="n"/>
      <x:c r="G11" s="21" t="n"/>
      <x:c r="H11" s="15" t="n"/>
      <x:c r="I11" s="15" t="n"/>
      <x:c r="J11" s="27" t="n"/>
      <x:c r="K11" s="31" t="n"/>
    </x:row>
    <x:row r="12" ht="28" customHeight="1">
      <x:c r="A12" s="30" t="n"/>
      <x:c r="B12" s="21" t="n"/>
      <x:c r="C12" s="21" t="n"/>
      <x:c r="D12" s="21" t="n"/>
      <x:c r="E12" s="21" t="n"/>
      <x:c r="F12" s="21" t="n"/>
      <x:c r="G12" s="21" t="n"/>
      <x:c r="H12" s="15" t="n"/>
      <x:c r="I12" s="15" t="n"/>
      <x:c r="J12" s="27" t="n"/>
      <x:c r="K12" s="31" t="n"/>
    </x:row>
    <x:row r="13" ht="28" customHeight="1">
      <x:c r="A13" s="30" t="n"/>
      <x:c r="B13" s="21" t="n"/>
      <x:c r="C13" s="21" t="n"/>
      <x:c r="D13" s="21" t="n"/>
      <x:c r="E13" s="21" t="n"/>
      <x:c r="F13" s="21" t="n"/>
      <x:c r="G13" s="21" t="n"/>
      <x:c r="H13" s="15" t="n"/>
      <x:c r="I13" s="15" t="n"/>
      <x:c r="J13" s="27" t="n"/>
      <x:c r="K13" s="31" t="n"/>
    </x:row>
    <x:row r="14" ht="28" customHeight="1">
      <x:c r="A14" s="30" t="n"/>
      <x:c r="B14" s="21" t="n"/>
      <x:c r="C14" s="21" t="n"/>
      <x:c r="D14" s="21" t="n"/>
      <x:c r="E14" s="21" t="n"/>
      <x:c r="F14" s="21" t="n"/>
      <x:c r="G14" s="21" t="n"/>
      <x:c r="H14" s="15" t="n"/>
      <x:c r="I14" s="15" t="n"/>
      <x:c r="J14" s="27" t="n"/>
      <x:c r="K14" s="31" t="n"/>
    </x:row>
    <x:row r="15" ht="28" customHeight="1">
      <x:c r="A15" s="30" t="n"/>
      <x:c r="B15" s="21" t="n"/>
      <x:c r="C15" s="21" t="n"/>
      <x:c r="D15" s="21" t="n"/>
      <x:c r="E15" s="21" t="n"/>
      <x:c r="F15" s="21" t="n"/>
      <x:c r="G15" s="21" t="n"/>
      <x:c r="H15" s="15" t="n"/>
      <x:c r="I15" s="15" t="n"/>
      <x:c r="J15" s="27" t="n"/>
      <x:c r="K15" s="31" t="n"/>
    </x:row>
    <x:row r="16" ht="28" customHeight="1">
      <x:c r="A16" s="30" t="n"/>
      <x:c r="B16" s="21" t="n"/>
      <x:c r="C16" s="21" t="n"/>
      <x:c r="D16" s="21" t="n"/>
      <x:c r="E16" s="21" t="n"/>
      <x:c r="F16" s="21" t="n"/>
      <x:c r="G16" s="21" t="n"/>
      <x:c r="H16" s="15" t="n"/>
      <x:c r="I16" s="15" t="n"/>
      <x:c r="J16" s="27" t="n"/>
      <x:c r="K16" s="31" t="n"/>
    </x:row>
    <x:row r="17" ht="28" customHeight="1">
      <x:c r="A17" s="30" t="n"/>
      <x:c r="B17" s="21" t="n"/>
      <x:c r="C17" s="21" t="n"/>
      <x:c r="D17" s="21" t="n"/>
      <x:c r="E17" s="21" t="n"/>
      <x:c r="F17" s="21" t="n"/>
      <x:c r="G17" s="21" t="n"/>
      <x:c r="H17" s="15" t="n"/>
      <x:c r="I17" s="15" t="n"/>
      <x:c r="J17" s="27" t="n"/>
      <x:c r="K17" s="31" t="n"/>
    </x:row>
    <x:row r="18" ht="28" customHeight="1">
      <x:c r="A18" s="30" t="n"/>
      <x:c r="B18" s="21" t="n"/>
      <x:c r="C18" s="21" t="n"/>
      <x:c r="D18" s="21" t="n"/>
      <x:c r="E18" s="21" t="n"/>
      <x:c r="F18" s="21" t="n"/>
      <x:c r="G18" s="21" t="n"/>
      <x:c r="H18" s="15" t="n"/>
      <x:c r="I18" s="15" t="n"/>
      <x:c r="J18" s="27" t="n"/>
      <x:c r="K18" s="31" t="n"/>
    </x:row>
    <x:row r="19" ht="28" customHeight="1">
      <x:c r="A19" s="30" t="n"/>
      <x:c r="B19" s="21" t="n"/>
      <x:c r="C19" s="21" t="n"/>
      <x:c r="D19" s="21" t="n"/>
      <x:c r="E19" s="21" t="n"/>
      <x:c r="F19" s="21" t="n"/>
      <x:c r="G19" s="21" t="n"/>
      <x:c r="H19" s="15" t="n"/>
      <x:c r="I19" s="15" t="n"/>
      <x:c r="J19" s="27" t="n"/>
      <x:c r="K19" s="31" t="n"/>
    </x:row>
    <x:row r="20" ht="28" customHeight="1">
      <x:c r="A20" s="30" t="n"/>
      <x:c r="B20" s="21" t="n"/>
      <x:c r="C20" s="21" t="n"/>
      <x:c r="D20" s="21" t="n"/>
      <x:c r="E20" s="21" t="n"/>
      <x:c r="F20" s="21" t="n"/>
      <x:c r="G20" s="21" t="n"/>
      <x:c r="H20" s="15" t="n"/>
      <x:c r="I20" s="15" t="n"/>
      <x:c r="J20" s="27" t="n"/>
      <x:c r="K20" s="31" t="n"/>
    </x:row>
    <x:row r="21" ht="28" customHeight="1">
      <x:c r="A21" s="30" t="n"/>
      <x:c r="B21" s="21" t="n"/>
      <x:c r="C21" s="21" t="n"/>
      <x:c r="D21" s="21" t="n"/>
      <x:c r="E21" s="21" t="n"/>
      <x:c r="F21" s="21" t="n"/>
      <x:c r="G21" s="21" t="n"/>
      <x:c r="H21" s="15" t="n"/>
      <x:c r="I21" s="15" t="n"/>
      <x:c r="J21" s="27" t="n"/>
      <x:c r="K21" s="31" t="n"/>
    </x:row>
    <x:row r="22" ht="28" customHeight="1">
      <x:c r="A22" s="30" t="n"/>
      <x:c r="B22" s="21" t="n"/>
      <x:c r="C22" s="21" t="n"/>
      <x:c r="D22" s="21" t="n"/>
      <x:c r="E22" s="21" t="n"/>
      <x:c r="F22" s="21" t="n"/>
      <x:c r="G22" s="21" t="n"/>
      <x:c r="H22" s="15" t="n"/>
      <x:c r="I22" s="15" t="n"/>
      <x:c r="J22" s="27" t="n"/>
      <x:c r="K22" s="31" t="n"/>
    </x:row>
    <x:row r="23" ht="28" customHeight="1">
      <x:c r="A23" s="30" t="n"/>
      <x:c r="B23" s="21" t="n"/>
      <x:c r="C23" s="21" t="n"/>
      <x:c r="D23" s="21" t="n"/>
      <x:c r="E23" s="21" t="n"/>
      <x:c r="F23" s="21" t="n"/>
      <x:c r="G23" s="21" t="n"/>
      <x:c r="H23" s="15" t="n"/>
      <x:c r="I23" s="15" t="n"/>
      <x:c r="J23" s="27" t="n"/>
      <x:c r="K23" s="31" t="n"/>
    </x:row>
    <x:row r="24" ht="28" customHeight="1">
      <x:c r="A24" s="30" t="n"/>
      <x:c r="B24" s="21" t="n"/>
      <x:c r="C24" s="21" t="n"/>
      <x:c r="D24" s="21" t="n"/>
      <x:c r="E24" s="21" t="n"/>
      <x:c r="F24" s="21" t="n"/>
      <x:c r="G24" s="21" t="n"/>
      <x:c r="H24" s="15" t="n"/>
      <x:c r="I24" s="15" t="n"/>
      <x:c r="J24" s="27" t="n"/>
      <x:c r="K24" s="31" t="n"/>
    </x:row>
    <x:row r="25" ht="28" customHeight="1">
      <x:c r="A25" s="30" t="n"/>
      <x:c r="B25" s="21" t="n"/>
      <x:c r="C25" s="21" t="n"/>
      <x:c r="D25" s="21" t="n"/>
      <x:c r="E25" s="21" t="n"/>
      <x:c r="F25" s="21" t="n"/>
      <x:c r="G25" s="21" t="n"/>
      <x:c r="H25" s="15" t="n"/>
      <x:c r="I25" s="15" t="n"/>
      <x:c r="J25" s="27" t="n"/>
      <x:c r="K25" s="31" t="n"/>
    </x:row>
    <x:row r="26" ht="28" customHeight="1">
      <x:c r="A26" s="30" t="n"/>
      <x:c r="B26" s="21" t="n"/>
      <x:c r="C26" s="21" t="n"/>
      <x:c r="D26" s="21" t="n"/>
      <x:c r="E26" s="21" t="n"/>
      <x:c r="F26" s="21" t="n"/>
      <x:c r="G26" s="21" t="n"/>
      <x:c r="H26" s="15" t="n"/>
      <x:c r="I26" s="15" t="n"/>
      <x:c r="J26" s="27" t="n"/>
      <x:c r="K26" s="31" t="n"/>
    </x:row>
    <x:row r="27" ht="28" customHeight="1">
      <x:c r="A27" s="30" t="n"/>
      <x:c r="B27" s="21" t="n"/>
      <x:c r="C27" s="21" t="n"/>
      <x:c r="D27" s="21" t="n"/>
      <x:c r="E27" s="21" t="n"/>
      <x:c r="F27" s="21" t="n"/>
      <x:c r="G27" s="21" t="n"/>
      <x:c r="H27" s="15" t="n"/>
      <x:c r="I27" s="15" t="n"/>
      <x:c r="J27" s="27" t="n"/>
      <x:c r="K27" s="31" t="n"/>
    </x:row>
    <x:row r="28" ht="28" customHeight="1">
      <x:c r="A28" s="30" t="n"/>
      <x:c r="B28" s="21" t="n"/>
      <x:c r="C28" s="21" t="n"/>
      <x:c r="D28" s="21" t="n"/>
      <x:c r="E28" s="21" t="n"/>
      <x:c r="F28" s="21" t="n"/>
      <x:c r="G28" s="21" t="n"/>
      <x:c r="H28" s="15" t="n"/>
      <x:c r="I28" s="15" t="n"/>
      <x:c r="J28" s="27" t="n"/>
      <x:c r="K28" s="31" t="n"/>
    </x:row>
    <x:row r="29" ht="28" customHeight="1">
      <x:c r="A29" s="30" t="n"/>
      <x:c r="B29" s="21" t="n"/>
      <x:c r="C29" s="21" t="n"/>
      <x:c r="D29" s="21" t="n"/>
      <x:c r="E29" s="21" t="n"/>
      <x:c r="F29" s="21" t="n"/>
      <x:c r="G29" s="21" t="n"/>
      <x:c r="H29" s="15" t="n"/>
      <x:c r="I29" s="15" t="n"/>
      <x:c r="J29" s="27" t="n"/>
      <x:c r="K29" s="31" t="n"/>
    </x:row>
    <x:row r="30" ht="28" customHeight="1">
      <x:c r="A30" s="30" t="n"/>
      <x:c r="B30" s="21" t="n"/>
      <x:c r="C30" s="21" t="n"/>
      <x:c r="D30" s="21" t="n"/>
      <x:c r="E30" s="21" t="n"/>
      <x:c r="F30" s="21" t="n"/>
      <x:c r="G30" s="21" t="n"/>
      <x:c r="H30" s="15" t="n"/>
      <x:c r="I30" s="15" t="n"/>
      <x:c r="J30" s="27" t="n"/>
      <x:c r="K30" s="31" t="n"/>
    </x:row>
    <x:row r="31" ht="28" customHeight="1">
      <x:c r="A31" s="30" t="n"/>
      <x:c r="B31" s="21" t="n"/>
      <x:c r="C31" s="21" t="n"/>
      <x:c r="D31" s="21" t="n"/>
      <x:c r="E31" s="21" t="n"/>
      <x:c r="F31" s="21" t="n"/>
      <x:c r="G31" s="21" t="n"/>
      <x:c r="H31" s="15" t="n"/>
      <x:c r="I31" s="15" t="n"/>
      <x:c r="J31" s="27" t="n"/>
      <x:c r="K31" s="31" t="n"/>
    </x:row>
  </x:sheetData>
  <x:mergeCells>
    <x:mergeCell ref="A2:K2"/>
    <x:mergeCell ref="A1:K1"/>
    <x:mergeCell ref="A4:K4"/>
  </x:mergeCells>
  <x:conditionalFormatting sqref="C7:C31">
    <x:cfRule type="expression" dxfId="3" priority="1">
      <x:formula>$C7="High"</x:formula>
    </x:cfRule>
    <x:cfRule type="expression" dxfId="2" priority="2">
      <x:formula>$C7="Medium"</x:formula>
    </x:cfRule>
    <x:cfRule type="expression" dxfId="1" priority="3">
      <x:formula>$C7="Low"</x:formula>
    </x:cfRule>
  </x:conditionalFormatting>
  <x:conditionalFormatting sqref="I7:I31">
    <x:cfRule type="expression" dxfId="4" priority="4">
      <x:formula>$I7="Open"</x:formula>
    </x:cfRule>
    <x:cfRule type="expression" dxfId="5" priority="5">
      <x:formula>$I7="Working"</x:formula>
    </x:cfRule>
    <x:cfRule type="expression" dxfId="0" priority="6">
      <x:formula>$I7="Pending Q&amp;A"</x:formula>
    </x:cfRule>
    <x:cfRule type="expression" dxfId="1" priority="7">
      <x:formula>$I7="Resolved"</x:formula>
    </x:cfRule>
    <x:cfRule type="expression" dxfId="4" priority="8">
      <x:formula>$I7="Deferred"</x:formula>
    </x:cfRule>
  </x:conditionalFormatting>
  <x:dataValidations count="4">
    <x:dataValidation type="list" allowBlank="1" showDropDown="0" showInputMessage="0" showErrorMessage="0" sqref="B7:B31">
      <x:formula1>=Lists!$J$2:$J$5</x:formula1>
    </x:dataValidation>
    <x:dataValidation type="list" allowBlank="1" showDropDown="0" showInputMessage="0" showErrorMessage="0" sqref="C7:C31">
      <x:formula1>=Lists!$K$2:$K$4</x:formula1>
    </x:dataValidation>
    <x:dataValidation type="list" allowBlank="1" showDropDown="0" showInputMessage="0" showErrorMessage="0" sqref="H7:H31">
      <x:formula1>=Lists!$L$2:$L$4</x:formula1>
    </x:dataValidation>
    <x:dataValidation type="list" allowBlank="1" showDropDown="0" showInputMessage="0" showErrorMessage="0" sqref="I7:I31">
      <x:formula1>=Lists!$P$2:$P$6</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14" customWidth="1"/>
    <x:col min="2" max="2" width="14" customWidth="1"/>
    <x:col min="3" max="3" width="16" customWidth="1"/>
    <x:col min="4" max="4" width="36" customWidth="1"/>
    <x:col min="5" max="5" width="22" customWidth="1"/>
    <x:col min="6" max="6" width="18" customWidth="1"/>
    <x:col min="7" max="7" width="14" customWidth="1"/>
    <x:col min="8" max="8" width="24" customWidth="1"/>
    <x:col min="9" max="9" width="12" customWidth="1"/>
    <x:col min="10" max="10" width="30" customWidth="1"/>
  </x:cols>
  <x:sheetData>
    <x:row r="1" ht="28" customHeight="1">
      <x:c r="A1" s="1" t="inlineStr">
        <x:is>
          <x:t xml:space="preserve">Amendment &amp; Q&amp;A Change Log</x:t>
        </x:is>
      </x:c>
      <x:c r="B1" s="1" t="n"/>
      <x:c r="C1" s="1" t="n"/>
      <x:c r="D1" s="1" t="n"/>
      <x:c r="E1" s="1" t="n"/>
      <x:c r="F1" s="1" t="n"/>
      <x:c r="G1" s="1" t="n"/>
      <x:c r="H1" s="1" t="n"/>
      <x:c r="I1" s="1" t="n"/>
      <x:c r="J1" s="1" t="n"/>
    </x:row>
    <x:row r="2" ht="28" customHeight="1">
      <x:c r="A2" s="2" t="inlineStr">
        <x:is>
          <x:t xml:space="preserve">Track every amendment, Q&amp;A answer, and solicitation update that can affect requirements, instructions, pricing, or schedule.</x:t>
        </x:is>
      </x:c>
      <x:c r="B2" s="2" t="n"/>
      <x:c r="C2" s="2" t="n"/>
      <x:c r="D2" s="2" t="n"/>
      <x:c r="E2" s="2" t="n"/>
      <x:c r="F2" s="2" t="n"/>
      <x:c r="G2" s="2" t="n"/>
      <x:c r="H2" s="2" t="n"/>
      <x:c r="I2" s="2" t="n"/>
      <x:c r="J2" s="2" t="n"/>
    </x:row>
    <x:row r="3" ht="28" customHeight="1"/>
    <x:row r="4" ht="28" customHeight="1">
      <x:c r="A4" s="17" t="inlineStr">
        <x:is>
          <x:t xml:space="preserve">After each amendment, update the Requirement Matrix and Checklist before writers continue. Use this log as the intake point for change control.</x:t>
        </x:is>
      </x:c>
      <x:c r="B4" s="17" t="n"/>
      <x:c r="C4" s="17" t="n"/>
      <x:c r="D4" s="17" t="n"/>
      <x:c r="E4" s="17" t="n"/>
      <x:c r="F4" s="17" t="n"/>
      <x:c r="G4" s="17" t="n"/>
      <x:c r="H4" s="17" t="n"/>
      <x:c r="I4" s="17" t="n"/>
      <x:c r="J4" s="17" t="n"/>
    </x:row>
    <x:row r="5" ht="28" customHeight="1"/>
    <x:row r="6" ht="34" customHeight="1">
      <x:c r="A6" s="13" t="inlineStr">
        <x:is>
          <x:t xml:space="preserve">Amendment ID</x:t>
        </x:is>
      </x:c>
      <x:c r="B6" s="13" t="inlineStr">
        <x:is>
          <x:t xml:space="preserve">Date</x:t>
        </x:is>
      </x:c>
      <x:c r="C6" s="13" t="inlineStr">
        <x:is>
          <x:t xml:space="preserve">Change Type</x:t>
        </x:is>
      </x:c>
      <x:c r="D6" s="13" t="inlineStr">
        <x:is>
          <x:t xml:space="preserve">Summary of Change / Clarification</x:t>
        </x:is>
      </x:c>
      <x:c r="E6" s="13" t="inlineStr">
        <x:is>
          <x:t xml:space="preserve">Impacted Sections</x:t>
        </x:is>
      </x:c>
      <x:c r="F6" s="13" t="inlineStr">
        <x:is>
          <x:t xml:space="preserve">Impacted Req IDs</x:t>
        </x:is>
      </x:c>
      <x:c r="G6" s="13" t="inlineStr">
        <x:is>
          <x:t xml:space="preserve">Owner</x:t>
        </x:is>
      </x:c>
      <x:c r="H6" s="13" t="inlineStr">
        <x:is>
          <x:t xml:space="preserve">Action Needed</x:t>
        </x:is>
      </x:c>
      <x:c r="I6" s="13" t="inlineStr">
        <x:is>
          <x:t xml:space="preserve">Status</x:t>
        </x:is>
      </x:c>
      <x:c r="J6" s="13" t="inlineStr">
        <x:is>
          <x:t xml:space="preserve">Source URL</x:t>
        </x:is>
      </x:c>
    </x:row>
    <x:row r="7" ht="28" customHeight="1">
      <x:c r="A7" s="21" t="n"/>
      <x:c r="B7" s="31" t="n"/>
      <x:c r="C7" s="21" t="n"/>
      <x:c r="D7" s="21" t="n"/>
      <x:c r="E7" s="21" t="n"/>
      <x:c r="F7" s="21" t="n"/>
      <x:c r="G7" s="21" t="n"/>
      <x:c r="H7" s="21" t="n"/>
      <x:c r="I7" s="15" t="n"/>
      <x:c r="J7" s="23" t="n"/>
    </x:row>
    <x:row r="8" ht="28" customHeight="1">
      <x:c r="A8" s="21" t="n"/>
      <x:c r="B8" s="31" t="n"/>
      <x:c r="C8" s="21" t="n"/>
      <x:c r="D8" s="21" t="n"/>
      <x:c r="E8" s="21" t="n"/>
      <x:c r="F8" s="21" t="n"/>
      <x:c r="G8" s="21" t="n"/>
      <x:c r="H8" s="21" t="n"/>
      <x:c r="I8" s="15" t="n"/>
      <x:c r="J8" s="23" t="n"/>
    </x:row>
    <x:row r="9" ht="28" customHeight="1">
      <x:c r="A9" s="21" t="n"/>
      <x:c r="B9" s="31" t="n"/>
      <x:c r="C9" s="21" t="n"/>
      <x:c r="D9" s="21" t="n"/>
      <x:c r="E9" s="21" t="n"/>
      <x:c r="F9" s="21" t="n"/>
      <x:c r="G9" s="21" t="n"/>
      <x:c r="H9" s="21" t="n"/>
      <x:c r="I9" s="15" t="n"/>
      <x:c r="J9" s="23" t="n"/>
    </x:row>
    <x:row r="10" ht="28" customHeight="1">
      <x:c r="A10" s="21" t="n"/>
      <x:c r="B10" s="31" t="n"/>
      <x:c r="C10" s="21" t="n"/>
      <x:c r="D10" s="21" t="n"/>
      <x:c r="E10" s="21" t="n"/>
      <x:c r="F10" s="21" t="n"/>
      <x:c r="G10" s="21" t="n"/>
      <x:c r="H10" s="21" t="n"/>
      <x:c r="I10" s="15" t="n"/>
      <x:c r="J10" s="23" t="n"/>
    </x:row>
    <x:row r="11" ht="28" customHeight="1">
      <x:c r="A11" s="21" t="n"/>
      <x:c r="B11" s="31" t="n"/>
      <x:c r="C11" s="21" t="n"/>
      <x:c r="D11" s="21" t="n"/>
      <x:c r="E11" s="21" t="n"/>
      <x:c r="F11" s="21" t="n"/>
      <x:c r="G11" s="21" t="n"/>
      <x:c r="H11" s="21" t="n"/>
      <x:c r="I11" s="15" t="n"/>
      <x:c r="J11" s="23" t="n"/>
    </x:row>
    <x:row r="12" ht="28" customHeight="1">
      <x:c r="A12" s="21" t="n"/>
      <x:c r="B12" s="31" t="n"/>
      <x:c r="C12" s="21" t="n"/>
      <x:c r="D12" s="21" t="n"/>
      <x:c r="E12" s="21" t="n"/>
      <x:c r="F12" s="21" t="n"/>
      <x:c r="G12" s="21" t="n"/>
      <x:c r="H12" s="21" t="n"/>
      <x:c r="I12" s="15" t="n"/>
      <x:c r="J12" s="23" t="n"/>
    </x:row>
    <x:row r="13" ht="28" customHeight="1">
      <x:c r="A13" s="21" t="n"/>
      <x:c r="B13" s="31" t="n"/>
      <x:c r="C13" s="21" t="n"/>
      <x:c r="D13" s="21" t="n"/>
      <x:c r="E13" s="21" t="n"/>
      <x:c r="F13" s="21" t="n"/>
      <x:c r="G13" s="21" t="n"/>
      <x:c r="H13" s="21" t="n"/>
      <x:c r="I13" s="15" t="n"/>
      <x:c r="J13" s="23" t="n"/>
    </x:row>
    <x:row r="14" ht="28" customHeight="1">
      <x:c r="A14" s="21" t="n"/>
      <x:c r="B14" s="31" t="n"/>
      <x:c r="C14" s="21" t="n"/>
      <x:c r="D14" s="21" t="n"/>
      <x:c r="E14" s="21" t="n"/>
      <x:c r="F14" s="21" t="n"/>
      <x:c r="G14" s="21" t="n"/>
      <x:c r="H14" s="21" t="n"/>
      <x:c r="I14" s="15" t="n"/>
      <x:c r="J14" s="23" t="n"/>
    </x:row>
    <x:row r="15" ht="28" customHeight="1">
      <x:c r="A15" s="21" t="n"/>
      <x:c r="B15" s="31" t="n"/>
      <x:c r="C15" s="21" t="n"/>
      <x:c r="D15" s="21" t="n"/>
      <x:c r="E15" s="21" t="n"/>
      <x:c r="F15" s="21" t="n"/>
      <x:c r="G15" s="21" t="n"/>
      <x:c r="H15" s="21" t="n"/>
      <x:c r="I15" s="15" t="n"/>
      <x:c r="J15" s="23" t="n"/>
    </x:row>
    <x:row r="16" ht="28" customHeight="1">
      <x:c r="A16" s="21" t="n"/>
      <x:c r="B16" s="31" t="n"/>
      <x:c r="C16" s="21" t="n"/>
      <x:c r="D16" s="21" t="n"/>
      <x:c r="E16" s="21" t="n"/>
      <x:c r="F16" s="21" t="n"/>
      <x:c r="G16" s="21" t="n"/>
      <x:c r="H16" s="21" t="n"/>
      <x:c r="I16" s="15" t="n"/>
      <x:c r="J16" s="23" t="n"/>
    </x:row>
    <x:row r="17" ht="28" customHeight="1">
      <x:c r="A17" s="21" t="n"/>
      <x:c r="B17" s="31" t="n"/>
      <x:c r="C17" s="21" t="n"/>
      <x:c r="D17" s="21" t="n"/>
      <x:c r="E17" s="21" t="n"/>
      <x:c r="F17" s="21" t="n"/>
      <x:c r="G17" s="21" t="n"/>
      <x:c r="H17" s="21" t="n"/>
      <x:c r="I17" s="15" t="n"/>
      <x:c r="J17" s="23" t="n"/>
    </x:row>
    <x:row r="18" ht="28" customHeight="1">
      <x:c r="A18" s="21" t="n"/>
      <x:c r="B18" s="31" t="n"/>
      <x:c r="C18" s="21" t="n"/>
      <x:c r="D18" s="21" t="n"/>
      <x:c r="E18" s="21" t="n"/>
      <x:c r="F18" s="21" t="n"/>
      <x:c r="G18" s="21" t="n"/>
      <x:c r="H18" s="21" t="n"/>
      <x:c r="I18" s="15" t="n"/>
      <x:c r="J18" s="23" t="n"/>
    </x:row>
    <x:row r="19" ht="28" customHeight="1">
      <x:c r="A19" s="21" t="n"/>
      <x:c r="B19" s="31" t="n"/>
      <x:c r="C19" s="21" t="n"/>
      <x:c r="D19" s="21" t="n"/>
      <x:c r="E19" s="21" t="n"/>
      <x:c r="F19" s="21" t="n"/>
      <x:c r="G19" s="21" t="n"/>
      <x:c r="H19" s="21" t="n"/>
      <x:c r="I19" s="15" t="n"/>
      <x:c r="J19" s="23" t="n"/>
    </x:row>
    <x:row r="20" ht="28" customHeight="1">
      <x:c r="A20" s="21" t="n"/>
      <x:c r="B20" s="31" t="n"/>
      <x:c r="C20" s="21" t="n"/>
      <x:c r="D20" s="21" t="n"/>
      <x:c r="E20" s="21" t="n"/>
      <x:c r="F20" s="21" t="n"/>
      <x:c r="G20" s="21" t="n"/>
      <x:c r="H20" s="21" t="n"/>
      <x:c r="I20" s="15" t="n"/>
      <x:c r="J20" s="23" t="n"/>
    </x:row>
    <x:row r="21" ht="28" customHeight="1">
      <x:c r="A21" s="21" t="n"/>
      <x:c r="B21" s="31" t="n"/>
      <x:c r="C21" s="21" t="n"/>
      <x:c r="D21" s="21" t="n"/>
      <x:c r="E21" s="21" t="n"/>
      <x:c r="F21" s="21" t="n"/>
      <x:c r="G21" s="21" t="n"/>
      <x:c r="H21" s="21" t="n"/>
      <x:c r="I21" s="15" t="n"/>
      <x:c r="J21" s="23" t="n"/>
    </x:row>
    <x:row r="22" ht="28" customHeight="1">
      <x:c r="A22" s="21" t="n"/>
      <x:c r="B22" s="31" t="n"/>
      <x:c r="C22" s="21" t="n"/>
      <x:c r="D22" s="21" t="n"/>
      <x:c r="E22" s="21" t="n"/>
      <x:c r="F22" s="21" t="n"/>
      <x:c r="G22" s="21" t="n"/>
      <x:c r="H22" s="21" t="n"/>
      <x:c r="I22" s="15" t="n"/>
      <x:c r="J22" s="23" t="n"/>
    </x:row>
    <x:row r="23" ht="28" customHeight="1">
      <x:c r="A23" s="21" t="n"/>
      <x:c r="B23" s="31" t="n"/>
      <x:c r="C23" s="21" t="n"/>
      <x:c r="D23" s="21" t="n"/>
      <x:c r="E23" s="21" t="n"/>
      <x:c r="F23" s="21" t="n"/>
      <x:c r="G23" s="21" t="n"/>
      <x:c r="H23" s="21" t="n"/>
      <x:c r="I23" s="15" t="n"/>
      <x:c r="J23" s="23" t="n"/>
    </x:row>
    <x:row r="24" ht="28" customHeight="1">
      <x:c r="A24" s="21" t="n"/>
      <x:c r="B24" s="31" t="n"/>
      <x:c r="C24" s="21" t="n"/>
      <x:c r="D24" s="21" t="n"/>
      <x:c r="E24" s="21" t="n"/>
      <x:c r="F24" s="21" t="n"/>
      <x:c r="G24" s="21" t="n"/>
      <x:c r="H24" s="21" t="n"/>
      <x:c r="I24" s="15" t="n"/>
      <x:c r="J24" s="23" t="n"/>
    </x:row>
    <x:row r="25" ht="28" customHeight="1">
      <x:c r="A25" s="21" t="n"/>
      <x:c r="B25" s="31" t="n"/>
      <x:c r="C25" s="21" t="n"/>
      <x:c r="D25" s="21" t="n"/>
      <x:c r="E25" s="21" t="n"/>
      <x:c r="F25" s="21" t="n"/>
      <x:c r="G25" s="21" t="n"/>
      <x:c r="H25" s="21" t="n"/>
      <x:c r="I25" s="15" t="n"/>
      <x:c r="J25" s="23" t="n"/>
    </x:row>
    <x:row r="26" ht="28" customHeight="1">
      <x:c r="A26" s="21" t="n"/>
      <x:c r="B26" s="31" t="n"/>
      <x:c r="C26" s="21" t="n"/>
      <x:c r="D26" s="21" t="n"/>
      <x:c r="E26" s="21" t="n"/>
      <x:c r="F26" s="21" t="n"/>
      <x:c r="G26" s="21" t="n"/>
      <x:c r="H26" s="21" t="n"/>
      <x:c r="I26" s="15" t="n"/>
      <x:c r="J26" s="23" t="n"/>
    </x:row>
    <x:row r="27" ht="28" customHeight="1">
      <x:c r="A27" s="21" t="n"/>
      <x:c r="B27" s="31" t="n"/>
      <x:c r="C27" s="21" t="n"/>
      <x:c r="D27" s="21" t="n"/>
      <x:c r="E27" s="21" t="n"/>
      <x:c r="F27" s="21" t="n"/>
      <x:c r="G27" s="21" t="n"/>
      <x:c r="H27" s="21" t="n"/>
      <x:c r="I27" s="15" t="n"/>
      <x:c r="J27" s="23" t="n"/>
    </x:row>
    <x:row r="28" ht="28" customHeight="1">
      <x:c r="A28" s="21" t="n"/>
      <x:c r="B28" s="31" t="n"/>
      <x:c r="C28" s="21" t="n"/>
      <x:c r="D28" s="21" t="n"/>
      <x:c r="E28" s="21" t="n"/>
      <x:c r="F28" s="21" t="n"/>
      <x:c r="G28" s="21" t="n"/>
      <x:c r="H28" s="21" t="n"/>
      <x:c r="I28" s="15" t="n"/>
      <x:c r="J28" s="23" t="n"/>
    </x:row>
  </x:sheetData>
  <x:mergeCells>
    <x:mergeCell ref="A1:J1"/>
    <x:mergeCell ref="A4:J4"/>
    <x:mergeCell ref="A2:J2"/>
  </x:mergeCells>
  <x:conditionalFormatting sqref="I7:I28">
    <x:cfRule type="expression" dxfId="4" priority="1">
      <x:formula>$I7="Open"</x:formula>
    </x:cfRule>
    <x:cfRule type="expression" dxfId="5" priority="2">
      <x:formula>$I7="Working"</x:formula>
    </x:cfRule>
    <x:cfRule type="expression" dxfId="1" priority="3">
      <x:formula>$I7="Closed"</x:formula>
    </x:cfRule>
  </x:conditionalFormatting>
  <x:dataValidations count="2">
    <x:dataValidation type="list" allowBlank="1" showDropDown="0" showInputMessage="0" showErrorMessage="0" sqref="C7:C28">
      <x:formula1>=Lists!$Q$2:$Q$9</x:formula1>
    </x:dataValidation>
    <x:dataValidation type="list" allowBlank="1" showDropDown="0" showInputMessage="0" showErrorMessage="0" sqref="I7:I28">
      <x:formula1>=Lists!$M$2:$M$4</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20" customWidth="1"/>
    <x:col min="2" max="2" width="28" customWidth="1"/>
    <x:col min="3" max="3" width="28" customWidth="1"/>
    <x:col min="4" max="4" width="56" customWidth="1"/>
    <x:col min="5" max="5" width="62" customWidth="1"/>
  </x:cols>
  <x:sheetData>
    <x:row r="1" ht="28" customHeight="1">
      <x:c r="A1" s="1" t="inlineStr">
        <x:is>
          <x:t xml:space="preserve">Sources &amp; Research Basis</x:t>
        </x:is>
      </x:c>
      <x:c r="B1" s="1" t="n"/>
      <x:c r="C1" s="1" t="n"/>
      <x:c r="D1" s="1" t="n"/>
      <x:c r="E1" s="1" t="n"/>
    </x:row>
    <x:row r="2" ht="28" customHeight="1">
      <x:c r="A2" s="2" t="inlineStr">
        <x:is>
          <x:t xml:space="preserve">Preserve both the workbook design rationale and the opportunity-specific source register for the actual pursuit.</x:t>
        </x:is>
      </x:c>
      <x:c r="B2" s="2" t="n"/>
      <x:c r="C2" s="2" t="n"/>
      <x:c r="D2" s="2" t="n"/>
      <x:c r="E2" s="2" t="n"/>
    </x:row>
    <x:row r="3" ht="28" customHeight="1"/>
    <x:row r="4" ht="28" customHeight="1">
      <x:c r="A4" s="3" t="inlineStr">
        <x:is>
          <x:t xml:space="preserve">Best-practice research sources</x:t>
        </x:is>
      </x:c>
      <x:c r="B4" s="3" t="n"/>
      <x:c r="C4" s="3" t="n"/>
      <x:c r="D4" s="3" t="n"/>
      <x:c r="E4" s="3" t="n"/>
    </x:row>
    <x:row r="5" ht="34" customHeight="1">
      <x:c r="A5" s="13" t="inlineStr">
        <x:is>
          <x:t xml:space="preserve">Source Type</x:t>
        </x:is>
      </x:c>
      <x:c r="B5" s="13" t="inlineStr">
        <x:is>
          <x:t xml:space="preserve">Short Name</x:t>
        </x:is>
      </x:c>
      <x:c r="C5" s="13" t="inlineStr">
        <x:is>
          <x:t xml:space="preserve">What it supports</x:t>
        </x:is>
      </x:c>
      <x:c r="D5" s="13" t="inlineStr">
        <x:is>
          <x:t xml:space="preserve">Key Takeaway / Notes</x:t>
        </x:is>
      </x:c>
      <x:c r="E5" s="13" t="inlineStr">
        <x:is>
          <x:t xml:space="preserve">Source URL</x:t>
        </x:is>
      </x:c>
    </x:row>
    <x:row r="6" ht="28" customHeight="1">
      <x:c r="A6" s="26" t="inlineStr">
        <x:is>
          <x:t xml:space="preserve">Best-practice research</x:t>
        </x:is>
      </x:c>
      <x:c r="B6" s="32" t="inlineStr">
        <x:is>
          <x:t xml:space="preserve">FAR 15.204-5</x:t>
        </x:is>
      </x:c>
      <x:c r="C6" s="27" t="inlineStr">
        <x:is>
          <x:t xml:space="preserve">Sections L and M</x:t>
        </x:is>
      </x:c>
      <x:c r="D6" s="27" t="inlineStr">
        <x:is>
          <x:t xml:space="preserve">Section L covers instructions to offerors and Section M identifies evaluation factors and their relative importance.</x:t>
        </x:is>
      </x:c>
      <x:c r="E6" s="23" t="inlineStr">
        <x:is>
          <x:t xml:space="preserve">https://www.acquisition.gov/far/15.204-5</x:t>
        </x:is>
      </x:c>
    </x:row>
    <x:row r="7" ht="28" customHeight="1">
      <x:c r="A7" s="26" t="inlineStr">
        <x:is>
          <x:t xml:space="preserve">Best-practice research</x:t>
        </x:is>
      </x:c>
      <x:c r="B7" s="32" t="inlineStr">
        <x:is>
          <x:t xml:space="preserve">FAR 15.304</x:t>
        </x:is>
      </x:c>
      <x:c r="C7" s="27" t="inlineStr">
        <x:is>
          <x:t xml:space="preserve">Evaluation factor traceability</x:t>
        </x:is>
      </x:c>
      <x:c r="D7" s="27" t="inlineStr">
        <x:is>
          <x:t xml:space="preserve">Solicitations must clearly state all evaluation factors and significant subfactors that will affect award.</x:t>
        </x:is>
      </x:c>
      <x:c r="E7" s="23" t="inlineStr">
        <x:is>
          <x:t xml:space="preserve">https://www.acquisition.gov/far/15.304-evaluation-factors-and-significant-subfactors</x:t>
        </x:is>
      </x:c>
    </x:row>
    <x:row r="8" ht="28" customHeight="1">
      <x:c r="A8" s="26" t="inlineStr">
        <x:is>
          <x:t xml:space="preserve">Best-practice research</x:t>
        </x:is>
      </x:c>
      <x:c r="B8" s="32" t="inlineStr">
        <x:is>
          <x:t xml:space="preserve">AFARS 2.3</x:t>
        </x:is>
      </x:c>
      <x:c r="C8" s="27" t="inlineStr">
        <x:is>
          <x:t xml:space="preserve">Crosswalk between L and M</x:t>
        </x:is>
      </x:c>
      <x:c r="D8" s="27" t="inlineStr">
        <x:is>
          <x:t xml:space="preserve">Agency guidance says Sections L and M should relate back to each other and the source selection plan.</x:t>
        </x:is>
      </x:c>
      <x:c r="E8" s="23" t="inlineStr">
        <x:is>
          <x:t xml:space="preserve">https://www.acquisition.gov/afars/2.3-develop-request-proposals</x:t>
        </x:is>
      </x:c>
    </x:row>
    <x:row r="9" ht="28" customHeight="1">
      <x:c r="A9" s="26" t="inlineStr">
        <x:is>
          <x:t xml:space="preserve">Best-practice research</x:t>
        </x:is>
      </x:c>
      <x:c r="B9" s="32" t="inlineStr">
        <x:is>
          <x:t xml:space="preserve">APMP Western - Shred for Success</x:t>
        </x:is>
      </x:c>
      <x:c r="C9" s="27" t="inlineStr">
        <x:is>
          <x:t xml:space="preserve">One-row-per-requirement rule</x:t>
        </x:is>
      </x:c>
      <x:c r="D9" s="27" t="inlineStr">
        <x:is>
          <x:t xml:space="preserve">Break every shall / must / will / should instruction into separate matrix rows and update the matrix as amendments arrive.</x:t>
        </x:is>
      </x:c>
      <x:c r="E9" s="23" t="inlineStr">
        <x:is>
          <x:t xml:space="preserve">https://apmp-western.org/wp-content/uploads/2023/10/WRC2023-Conniff-Shred-For-Success.pdf</x:t>
        </x:is>
      </x:c>
    </x:row>
    <x:row r="10" ht="28" customHeight="1">
      <x:c r="A10" s="26" t="inlineStr">
        <x:is>
          <x:t xml:space="preserve">Best-practice research</x:t>
        </x:is>
      </x:c>
      <x:c r="B10" s="32" t="inlineStr">
        <x:is>
          <x:t xml:space="preserve">APMP NL - Outlining &amp; Planning</x:t>
        </x:is>
      </x:c>
      <x:c r="C10" s="27" t="inlineStr">
        <x:is>
          <x:t xml:space="preserve">Traceability and sequencing</x:t>
        </x:is>
      </x:c>
      <x:c r="D10" s="27" t="inlineStr">
        <x:is>
          <x:t xml:space="preserve">Follow the request sequence, number each requirement, and distinguish solution requirements from response requirements.</x:t>
        </x:is>
      </x:c>
      <x:c r="E10" s="23" t="inlineStr">
        <x:is>
          <x:t xml:space="preserve">https://www.apmp.nl/wp-content/uploads/2016/11/APMP_outlining_en_planning.pdf</x:t>
        </x:is>
      </x:c>
    </x:row>
    <x:row r="11" ht="28" customHeight="1">
      <x:c r="A11" s="26" t="inlineStr">
        <x:is>
          <x:t xml:space="preserve">Best-practice research</x:t>
        </x:is>
      </x:c>
      <x:c r="B11" s="32" t="inlineStr">
        <x:is>
          <x:t xml:space="preserve">VisibleThread - How to build a compliance matrix</x:t>
        </x:is>
      </x:c>
      <x:c r="C11" s="27" t="inlineStr">
        <x:is>
          <x:t xml:space="preserve">Matrix before writing</x:t>
        </x:is>
      </x:c>
      <x:c r="D11" s="27" t="inlineStr">
        <x:is>
          <x:t xml:space="preserve">Build the matrix before writing, keep proposal order aligned to the request, and pay special attention to evaluation language.</x:t>
        </x:is>
      </x:c>
      <x:c r="E11" s="23" t="inlineStr">
        <x:is>
          <x:t xml:space="preserve">https://www.visiblethread.com/wp-content/uploads/2022/09/How-to-build-a-compliance-matrix.pdf</x:t>
        </x:is>
      </x:c>
    </x:row>
    <x:row r="12" ht="28" customHeight="1">
      <x:c r="A12" s="26" t="inlineStr">
        <x:is>
          <x:t xml:space="preserve">Best-practice research</x:t>
        </x:is>
      </x:c>
      <x:c r="B12" s="32" t="inlineStr">
        <x:is>
          <x:t xml:space="preserve">Shipley blog</x:t>
        </x:is>
      </x:c>
      <x:c r="C12" s="27" t="inlineStr">
        <x:is>
          <x:t xml:space="preserve">Proposal planning controls</x:t>
        </x:is>
      </x:c>
      <x:c r="D12" s="27" t="inlineStr">
        <x:is>
          <x:t xml:space="preserve">Proposal planning should include the schedule, compliance matrix, and reviews; leave time to submit early.</x:t>
        </x:is>
      </x:c>
      <x:c r="E12" s="23" t="inlineStr">
        <x:is>
          <x:t xml:space="preserve">https://www.shipleywins.com/blogs/dear-newbie</x:t>
        </x:is>
      </x:c>
    </x:row>
    <x:row r="13" ht="28" customHeight="1">
      <x:c r="A13" s="26" t="inlineStr">
        <x:is>
          <x:t xml:space="preserve">Best-practice research</x:t>
        </x:is>
      </x:c>
      <x:c r="B13" s="32" t="inlineStr">
        <x:is>
          <x:t xml:space="preserve">GAO - QED Systems</x:t>
        </x:is>
      </x:c>
      <x:c r="C13" s="27" t="inlineStr">
        <x:is>
          <x:t xml:space="preserve">Submission rule enforcement</x:t>
        </x:is>
      </x:c>
      <x:c r="D13" s="27" t="inlineStr">
        <x:is>
          <x:t xml:space="preserve">Agencies may reject proposals or quotations that fail to comply with solicitation submission requirements.</x:t>
        </x:is>
      </x:c>
      <x:c r="E13" s="23" t="inlineStr">
        <x:is>
          <x:t xml:space="preserve">https://www.gao.gov/assets/720/718865.pdf</x:t>
        </x:is>
      </x:c>
    </x:row>
    <x:row r="14" ht="28" customHeight="1">
      <x:c r="A14" s="26" t="inlineStr">
        <x:is>
          <x:t xml:space="preserve">Best-practice research</x:t>
        </x:is>
      </x:c>
      <x:c r="B14" s="32" t="inlineStr">
        <x:is>
          <x:t xml:space="preserve">GAO - FI Consulting</x:t>
        </x:is>
      </x:c>
      <x:c r="C14" s="27" t="inlineStr">
        <x:is>
          <x:t xml:space="preserve">Format rule enforcement</x:t>
        </x:is>
      </x:c>
      <x:c r="D14" s="27" t="inlineStr">
        <x:is>
          <x:t xml:space="preserve">Formatting restrictions including figure/logo rules can be enforced strictly where the solicitation warns that noncompliant quotes are ineligible.</x:t>
        </x:is>
      </x:c>
      <x:c r="E14" s="23" t="inlineStr">
        <x:is>
          <x:t xml:space="preserve">https://www.gao.gov/products/b-423274</x:t>
        </x:is>
      </x:c>
    </x:row>
    <x:row r="15" ht="28" customHeight="1">
      <x:c r="A15" s="26" t="inlineStr">
        <x:is>
          <x:t xml:space="preserve">Best-practice research</x:t>
        </x:is>
      </x:c>
      <x:c r="B15" s="32" t="inlineStr">
        <x:is>
          <x:t xml:space="preserve">GAO - Herren Associates</x:t>
        </x:is>
      </x:c>
      <x:c r="C15" s="27" t="inlineStr">
        <x:is>
          <x:t xml:space="preserve">No scavenger hunt</x:t>
        </x:is>
      </x:c>
      <x:c r="D15" s="27" t="inlineStr">
        <x:is>
          <x:t xml:space="preserve">Agencies are not required to search other proposal sections for missing information.</x:t>
        </x:is>
      </x:c>
      <x:c r="E15" s="23" t="inlineStr">
        <x:is>
          <x:t xml:space="preserve">https://www.gao.gov/assets/870/869401.pdf</x:t>
        </x:is>
      </x:c>
    </x:row>
    <x:row r="16" ht="28" customHeight="1">
      <x:c r="A16" s="26" t="inlineStr">
        <x:is>
          <x:t xml:space="preserve">Best-practice research</x:t>
        </x:is>
      </x:c>
      <x:c r="B16" s="32" t="inlineStr">
        <x:is>
          <x:t xml:space="preserve">GAO - Dawson Solutions</x:t>
        </x:is>
      </x:c>
      <x:c r="C16" s="27" t="inlineStr">
        <x:is>
          <x:t xml:space="preserve">Well-written proposal requirement</x:t>
        </x:is>
      </x:c>
      <x:c r="D16" s="27" t="inlineStr">
        <x:is>
          <x:t xml:space="preserve">It is the offeror's responsibility to submit a well-written proposal with sufficient detail; blanket statements are not enough.</x:t>
        </x:is>
      </x:c>
      <x:c r="E16" s="23" t="inlineStr">
        <x:is>
          <x:t xml:space="preserve">https://www.gao.gov/assets/b-418587.pdf</x:t>
        </x:is>
      </x:c>
    </x:row>
    <x:row r="17" ht="28" customHeight="1">
      <x:c r="A17" s="26" t="inlineStr">
        <x:is>
          <x:t xml:space="preserve">Supporting practice</x:t>
        </x:is>
      </x:c>
      <x:c r="B17" s="32" t="inlineStr">
        <x:is>
          <x:t xml:space="preserve">Responsive proposal guide</x:t>
        </x:is>
      </x:c>
      <x:c r="C17" s="27" t="inlineStr">
        <x:is>
          <x:t xml:space="preserve">Reviewer checklist concept</x:t>
        </x:is>
      </x:c>
      <x:c r="D17" s="27" t="inlineStr">
        <x:is>
          <x:t xml:space="preserve">A compliance matrix should record exact citations, proposal locations, and continually update through drafting and review.</x:t>
        </x:is>
      </x:c>
      <x:c r="E17" s="23" t="inlineStr">
        <x:is>
          <x:t xml:space="preserve">https://www.responsive.io/blog/proposal-compliance-matrix</x:t>
        </x:is>
      </x:c>
    </x:row>
    <x:row r="18" ht="28" customHeight="1">
      <x:c r="A18" s="26" t="inlineStr">
        <x:is>
          <x:t xml:space="preserve">Supporting practice</x:t>
        </x:is>
      </x:c>
      <x:c r="B18" s="32" t="inlineStr">
        <x:is>
          <x:t xml:space="preserve">Hinz Consulting article</x:t>
        </x:is>
      </x:c>
      <x:c r="C18" s="27" t="inlineStr">
        <x:is>
          <x:t xml:space="preserve">L / M / C relationship</x:t>
        </x:is>
      </x:c>
      <x:c r="D18" s="27" t="inlineStr">
        <x:is>
          <x:t xml:space="preserve">Use Section L for instructions, Section M for evaluation, and Section C / SOW / PWS for performance requirements.</x:t>
        </x:is>
      </x:c>
      <x:c r="E18" s="23" t="inlineStr">
        <x:is>
          <x:t xml:space="preserve">https://hinzconsulting.com/how-to-read-an-rfp-and-create-a-compliance-matrix/</x:t>
        </x:is>
      </x:c>
    </x:row>
    <x:row r="19" ht="28" customHeight="1"/>
    <x:row r="20" ht="28" customHeight="1"/>
    <x:row r="21" ht="28" customHeight="1">
      <x:c r="A21" s="3" t="inlineStr">
        <x:is>
          <x:t xml:space="preserve">Opportunity-specific source register</x:t>
        </x:is>
      </x:c>
      <x:c r="B21" s="3" t="n"/>
      <x:c r="C21" s="3" t="n"/>
      <x:c r="D21" s="3" t="n"/>
      <x:c r="E21" s="3" t="n"/>
    </x:row>
    <x:row r="22" ht="34" customHeight="1">
      <x:c r="A22" s="13" t="inlineStr">
        <x:is>
          <x:t xml:space="preserve">Source Type</x:t>
        </x:is>
      </x:c>
      <x:c r="B22" s="13" t="inlineStr">
        <x:is>
          <x:t xml:space="preserve">Short Name</x:t>
        </x:is>
      </x:c>
      <x:c r="C22" s="13" t="inlineStr">
        <x:is>
          <x:t xml:space="preserve">What it supports</x:t>
        </x:is>
      </x:c>
      <x:c r="D22" s="13" t="inlineStr">
        <x:is>
          <x:t xml:space="preserve">Key Takeaway / Notes</x:t>
        </x:is>
      </x:c>
      <x:c r="E22" s="13" t="inlineStr">
        <x:is>
          <x:t xml:space="preserve">Source URL</x:t>
        </x:is>
      </x:c>
    </x:row>
    <x:row r="23" ht="28" customHeight="1">
      <x:c r="A23" s="26" t="n"/>
      <x:c r="B23" s="27" t="n"/>
      <x:c r="C23" s="27" t="n"/>
      <x:c r="D23" s="27" t="n"/>
      <x:c r="E23" s="23" t="n"/>
    </x:row>
    <x:row r="24" ht="28" customHeight="1">
      <x:c r="A24" s="26" t="n"/>
      <x:c r="B24" s="27" t="n"/>
      <x:c r="C24" s="27" t="n"/>
      <x:c r="D24" s="27" t="n"/>
      <x:c r="E24" s="23" t="n"/>
    </x:row>
    <x:row r="25" ht="28" customHeight="1">
      <x:c r="A25" s="26" t="n"/>
      <x:c r="B25" s="27" t="n"/>
      <x:c r="C25" s="27" t="n"/>
      <x:c r="D25" s="27" t="n"/>
      <x:c r="E25" s="23" t="n"/>
    </x:row>
    <x:row r="26" ht="28" customHeight="1">
      <x:c r="A26" s="26" t="n"/>
      <x:c r="B26" s="27" t="n"/>
      <x:c r="C26" s="27" t="n"/>
      <x:c r="D26" s="27" t="n"/>
      <x:c r="E26" s="23" t="n"/>
    </x:row>
    <x:row r="27" ht="28" customHeight="1">
      <x:c r="A27" s="26" t="n"/>
      <x:c r="B27" s="27" t="n"/>
      <x:c r="C27" s="27" t="n"/>
      <x:c r="D27" s="27" t="n"/>
      <x:c r="E27" s="23" t="n"/>
    </x:row>
    <x:row r="28" ht="28" customHeight="1">
      <x:c r="A28" s="26" t="n"/>
      <x:c r="B28" s="27" t="n"/>
      <x:c r="C28" s="27" t="n"/>
      <x:c r="D28" s="27" t="n"/>
      <x:c r="E28" s="23" t="n"/>
    </x:row>
    <x:row r="29" ht="28" customHeight="1">
      <x:c r="A29" s="26" t="n"/>
      <x:c r="B29" s="27" t="n"/>
      <x:c r="C29" s="27" t="n"/>
      <x:c r="D29" s="27" t="n"/>
      <x:c r="E29" s="23" t="n"/>
    </x:row>
    <x:row r="30" ht="28" customHeight="1">
      <x:c r="A30" s="26" t="n"/>
      <x:c r="B30" s="27" t="n"/>
      <x:c r="C30" s="27" t="n"/>
      <x:c r="D30" s="27" t="n"/>
      <x:c r="E30" s="23" t="n"/>
    </x:row>
    <x:row r="31" ht="28" customHeight="1">
      <x:c r="A31" s="26" t="n"/>
      <x:c r="B31" s="27" t="n"/>
      <x:c r="C31" s="27" t="n"/>
      <x:c r="D31" s="27" t="n"/>
      <x:c r="E31" s="23" t="n"/>
    </x:row>
    <x:row r="32" ht="28" customHeight="1">
      <x:c r="A32" s="26" t="n"/>
      <x:c r="B32" s="27" t="n"/>
      <x:c r="C32" s="27" t="n"/>
      <x:c r="D32" s="27" t="n"/>
      <x:c r="E32" s="23" t="n"/>
    </x:row>
    <x:row r="33" ht="28" customHeight="1">
      <x:c r="A33" s="26" t="n"/>
      <x:c r="B33" s="27" t="n"/>
      <x:c r="C33" s="27" t="n"/>
      <x:c r="D33" s="27" t="n"/>
      <x:c r="E33" s="23" t="n"/>
    </x:row>
    <x:row r="34" ht="28" customHeight="1">
      <x:c r="A34" s="26" t="n"/>
      <x:c r="B34" s="27" t="n"/>
      <x:c r="C34" s="27" t="n"/>
      <x:c r="D34" s="27" t="n"/>
      <x:c r="E34" s="23" t="n"/>
    </x:row>
    <x:row r="35" ht="28" customHeight="1">
      <x:c r="A35" s="26" t="n"/>
      <x:c r="B35" s="27" t="n"/>
      <x:c r="C35" s="27" t="n"/>
      <x:c r="D35" s="27" t="n"/>
      <x:c r="E35" s="23" t="n"/>
    </x:row>
    <x:row r="36" ht="28" customHeight="1">
      <x:c r="A36" s="26" t="n"/>
      <x:c r="B36" s="27" t="n"/>
      <x:c r="C36" s="27" t="n"/>
      <x:c r="D36" s="27" t="n"/>
      <x:c r="E36" s="23" t="n"/>
    </x:row>
  </x:sheetData>
  <x:mergeCells>
    <x:mergeCell ref="A2:E2"/>
    <x:mergeCell ref="A1:E1"/>
    <x:mergeCell ref="A4:E4"/>
    <x:mergeCell ref="A21:E21"/>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24" customWidth="1"/>
    <x:col min="2" max="2" width="24" customWidth="1"/>
    <x:col min="3" max="3" width="24" customWidth="1"/>
    <x:col min="4" max="4" width="24" customWidth="1"/>
    <x:col min="5" max="5" width="24" customWidth="1"/>
    <x:col min="6" max="6" width="24" customWidth="1"/>
    <x:col min="7" max="7" width="24" customWidth="1"/>
    <x:col min="8" max="8" width="24" customWidth="1"/>
    <x:col min="9" max="9" width="24" customWidth="1"/>
    <x:col min="10" max="10" width="24" customWidth="1"/>
    <x:col min="11" max="11" width="24" customWidth="1"/>
    <x:col min="12" max="12" width="24" customWidth="1"/>
    <x:col min="13" max="13" width="24" customWidth="1"/>
    <x:col min="14" max="14" width="24" customWidth="1"/>
    <x:col min="15" max="15" width="24" customWidth="1"/>
    <x:col min="16" max="16" width="24" customWidth="1"/>
    <x:col min="17" max="17" width="24" customWidth="1"/>
    <x:col min="18" max="18" width="24" customWidth="1"/>
  </x:cols>
  <x:sheetData>
    <x:row r="1">
      <x:c r="A1" s="33" t="inlineStr">
        <x:is>
          <x:t xml:space="preserve">Source Area</x:t>
        </x:is>
      </x:c>
      <x:c r="B1" s="33" t="inlineStr">
        <x:is>
          <x:t xml:space="preserve">Requirement Category</x:t>
        </x:is>
      </x:c>
      <x:c r="C1" s="33" t="inlineStr">
        <x:is>
          <x:t xml:space="preserve">Requirement Level</x:t>
        </x:is>
      </x:c>
      <x:c r="D1" s="33" t="inlineStr">
        <x:is>
          <x:t xml:space="preserve">Compliance Posture</x:t>
        </x:is>
      </x:c>
      <x:c r="E1" s="33" t="inlineStr">
        <x:is>
          <x:t xml:space="preserve">Draft Status</x:t>
        </x:is>
      </x:c>
      <x:c r="F1" s="33" t="inlineStr">
        <x:is>
          <x:t xml:space="preserve">Eval Importance</x:t>
        </x:is>
      </x:c>
      <x:c r="G1" s="33" t="inlineStr">
        <x:is>
          <x:t xml:space="preserve">Review Status</x:t>
        </x:is>
      </x:c>
      <x:c r="H1" s="33" t="inlineStr">
        <x:is>
          <x:t xml:space="preserve">Checklist Status</x:t>
        </x:is>
      </x:c>
      <x:c r="I1" s="33" t="inlineStr">
        <x:is>
          <x:t xml:space="preserve">Price Item Type</x:t>
        </x:is>
      </x:c>
      <x:c r="J1" s="33" t="inlineStr">
        <x:is>
          <x:t xml:space="preserve">Issue Type</x:t>
        </x:is>
      </x:c>
      <x:c r="K1" s="33" t="inlineStr">
        <x:is>
          <x:t xml:space="preserve">Priority</x:t>
        </x:is>
      </x:c>
      <x:c r="L1" s="33" t="inlineStr">
        <x:is>
          <x:t xml:space="preserve">YesMaybeNo</x:t>
        </x:is>
      </x:c>
      <x:c r="M1" s="33" t="inlineStr">
        <x:is>
          <x:t xml:space="preserve">Amendment Status</x:t>
        </x:is>
      </x:c>
      <x:c r="N1" s="33" t="inlineStr">
        <x:is>
          <x:t xml:space="preserve">Volume</x:t>
        </x:is>
      </x:c>
      <x:c r="O1" s="33" t="inlineStr">
        <x:is>
          <x:t xml:space="preserve">Amendment Impact</x:t>
        </x:is>
      </x:c>
      <x:c r="P1" s="33" t="inlineStr">
        <x:is>
          <x:t xml:space="preserve">Issue Status</x:t>
        </x:is>
      </x:c>
      <x:c r="Q1" s="33" t="inlineStr">
        <x:is>
          <x:t xml:space="preserve">Amendment Change Type</x:t>
        </x:is>
      </x:c>
      <x:c r="R1" s="33" t="inlineStr">
        <x:is>
          <x:t xml:space="preserve">Checklist Category</x:t>
        </x:is>
      </x:c>
    </x:row>
    <x:row r="2">
      <x:c r="A2" t="inlineStr">
        <x:is>
          <x:t xml:space="preserve">C / PWS / SOW</x:t>
        </x:is>
      </x:c>
      <x:c r="B2" t="inlineStr">
        <x:is>
          <x:t xml:space="preserve">Submission</x:t>
        </x:is>
      </x:c>
      <x:c r="C2" t="inlineStr">
        <x:is>
          <x:t xml:space="preserve">Mandatory</x:t>
        </x:is>
      </x:c>
      <x:c r="D2" t="inlineStr">
        <x:is>
          <x:t xml:space="preserve">Comply</x:t>
        </x:is>
      </x:c>
      <x:c r="E2" t="inlineStr">
        <x:is>
          <x:t xml:space="preserve">Not Started</x:t>
        </x:is>
      </x:c>
      <x:c r="F2" t="inlineStr">
        <x:is>
          <x:t xml:space="preserve">Critical</x:t>
        </x:is>
      </x:c>
      <x:c r="G2" t="inlineStr">
        <x:is>
          <x:t xml:space="preserve">Open</x:t>
        </x:is>
      </x:c>
      <x:c r="H2" t="inlineStr">
        <x:is>
          <x:t xml:space="preserve">Not Started</x:t>
        </x:is>
      </x:c>
      <x:c r="I2" t="inlineStr">
        <x:is>
          <x:t xml:space="preserve">CLIN</x:t>
        </x:is>
      </x:c>
      <x:c r="J2" t="inlineStr">
        <x:is>
          <x:t xml:space="preserve">Question</x:t>
        </x:is>
      </x:c>
      <x:c r="K2" t="inlineStr">
        <x:is>
          <x:t xml:space="preserve">High</x:t>
        </x:is>
      </x:c>
      <x:c r="L2" t="inlineStr">
        <x:is>
          <x:t xml:space="preserve">Yes</x:t>
        </x:is>
      </x:c>
      <x:c r="M2" t="inlineStr">
        <x:is>
          <x:t xml:space="preserve">Open</x:t>
        </x:is>
      </x:c>
      <x:c r="N2" t="inlineStr">
        <x:is>
          <x:t xml:space="preserve">Executive / Cover</x:t>
        </x:is>
      </x:c>
      <x:c r="O2" t="inlineStr">
        <x:is>
          <x:t xml:space="preserve">None</x:t>
        </x:is>
      </x:c>
      <x:c r="P2" t="inlineStr">
        <x:is>
          <x:t xml:space="preserve">Open</x:t>
        </x:is>
      </x:c>
      <x:c r="Q2" t="inlineStr">
        <x:is>
          <x:t xml:space="preserve">Administrative</x:t>
        </x:is>
      </x:c>
      <x:c r="R2" t="inlineStr">
        <x:is>
          <x:t xml:space="preserve">Submission</x:t>
        </x:is>
      </x:c>
    </x:row>
    <x:row r="3">
      <x:c r="A3" t="inlineStr">
        <x:is>
          <x:t xml:space="preserve">L - Instructions</x:t>
        </x:is>
      </x:c>
      <x:c r="B3" t="inlineStr">
        <x:is>
          <x:t xml:space="preserve">Format / Packaging</x:t>
        </x:is>
      </x:c>
      <x:c r="C3" t="inlineStr">
        <x:is>
          <x:t xml:space="preserve">Evaluated</x:t>
        </x:is>
      </x:c>
      <x:c r="D3" t="inlineStr">
        <x:is>
          <x:t xml:space="preserve">Partial</x:t>
        </x:is>
      </x:c>
      <x:c r="E3" t="inlineStr">
        <x:is>
          <x:t xml:space="preserve">In Progress</x:t>
        </x:is>
      </x:c>
      <x:c r="F3" t="inlineStr">
        <x:is>
          <x:t xml:space="preserve">High</x:t>
        </x:is>
      </x:c>
      <x:c r="G3" t="inlineStr">
        <x:is>
          <x:t xml:space="preserve">In Progress</x:t>
        </x:is>
      </x:c>
      <x:c r="H3" t="inlineStr">
        <x:is>
          <x:t xml:space="preserve">In Progress</x:t>
        </x:is>
      </x:c>
      <x:c r="I3" t="inlineStr">
        <x:is>
          <x:t xml:space="preserve">SLIN</x:t>
        </x:is>
      </x:c>
      <x:c r="J3" t="inlineStr">
        <x:is>
          <x:t xml:space="preserve">Assumption</x:t>
        </x:is>
      </x:c>
      <x:c r="K3" t="inlineStr">
        <x:is>
          <x:t xml:space="preserve">Medium</x:t>
        </x:is>
      </x:c>
      <x:c r="L3" t="inlineStr">
        <x:is>
          <x:t xml:space="preserve">Maybe</x:t>
        </x:is>
      </x:c>
      <x:c r="M3" t="inlineStr">
        <x:is>
          <x:t xml:space="preserve">Working</x:t>
        </x:is>
      </x:c>
      <x:c r="N3" t="inlineStr">
        <x:is>
          <x:t xml:space="preserve">Technical</x:t>
        </x:is>
      </x:c>
      <x:c r="O3" t="inlineStr">
        <x:is>
          <x:t xml:space="preserve">Changed</x:t>
        </x:is>
      </x:c>
      <x:c r="P3" t="inlineStr">
        <x:is>
          <x:t xml:space="preserve">Working</x:t>
        </x:is>
      </x:c>
      <x:c r="Q3" t="inlineStr">
        <x:is>
          <x:t xml:space="preserve">Schedule</x:t>
        </x:is>
      </x:c>
      <x:c r="R3" t="inlineStr">
        <x:is>
          <x:t xml:space="preserve">Format / Packaging</x:t>
        </x:is>
      </x:c>
    </x:row>
    <x:row r="4">
      <x:c r="A4" t="inlineStr">
        <x:is>
          <x:t xml:space="preserve">M - Evaluation</x:t>
        </x:is>
      </x:c>
      <x:c r="B4" t="inlineStr">
        <x:is>
          <x:t xml:space="preserve">Technical</x:t>
        </x:is>
      </x:c>
      <x:c r="C4" t="inlineStr">
        <x:is>
          <x:t xml:space="preserve">Clarification</x:t>
        </x:is>
      </x:c>
      <x:c r="D4" t="inlineStr">
        <x:is>
          <x:t xml:space="preserve">Gap</x:t>
        </x:is>
      </x:c>
      <x:c r="E4" t="inlineStr">
        <x:is>
          <x:t xml:space="preserve">In Review</x:t>
        </x:is>
      </x:c>
      <x:c r="F4" t="inlineStr">
        <x:is>
          <x:t xml:space="preserve">Medium</x:t>
        </x:is>
      </x:c>
      <x:c r="G4" t="inlineStr">
        <x:is>
          <x:t xml:space="preserve">In Review</x:t>
        </x:is>
      </x:c>
      <x:c r="H4" t="inlineStr">
        <x:is>
          <x:t xml:space="preserve">Ready</x:t>
        </x:is>
      </x:c>
      <x:c r="I4" t="inlineStr">
        <x:is>
          <x:t xml:space="preserve">ELIN</x:t>
        </x:is>
      </x:c>
      <x:c r="J4" t="inlineStr">
        <x:is>
          <x:t xml:space="preserve">Risk</x:t>
        </x:is>
      </x:c>
      <x:c r="K4" t="inlineStr">
        <x:is>
          <x:t xml:space="preserve">Low</x:t>
        </x:is>
      </x:c>
      <x:c r="L4" t="inlineStr">
        <x:is>
          <x:t xml:space="preserve">No</x:t>
        </x:is>
      </x:c>
      <x:c r="M4" t="inlineStr">
        <x:is>
          <x:t xml:space="preserve">Closed</x:t>
        </x:is>
      </x:c>
      <x:c r="N4" t="inlineStr">
        <x:is>
          <x:t xml:space="preserve">Management</x:t>
        </x:is>
      </x:c>
      <x:c r="O4" t="inlineStr">
        <x:is>
          <x:t xml:space="preserve">Clarified</x:t>
        </x:is>
      </x:c>
      <x:c r="P4" t="inlineStr">
        <x:is>
          <x:t xml:space="preserve">Pending Q&amp;A</x:t>
        </x:is>
      </x:c>
      <x:c r="Q4" t="inlineStr">
        <x:is>
          <x:t xml:space="preserve">Requirement</x:t>
        </x:is>
      </x:c>
      <x:c r="R4" t="inlineStr">
        <x:is>
          <x:t xml:space="preserve">Admin / Forms</x:t>
        </x:is>
      </x:c>
    </x:row>
    <x:row r="5">
      <x:c r="A5" t="inlineStr">
        <x:is>
          <x:t xml:space="preserve">B - CLIN / Pricing</x:t>
        </x:is>
      </x:c>
      <x:c r="B5" t="inlineStr">
        <x:is>
          <x:t xml:space="preserve">Management</x:t>
        </x:is>
      </x:c>
      <x:c r="C5" t="inlineStr">
        <x:is>
          <x:t xml:space="preserve">Informational</x:t>
        </x:is>
      </x:c>
      <x:c r="D5" t="inlineStr">
        <x:is>
          <x:t xml:space="preserve">Question</x:t>
        </x:is>
      </x:c>
      <x:c r="E5" t="inlineStr">
        <x:is>
          <x:t xml:space="preserve">Final</x:t>
        </x:is>
      </x:c>
      <x:c r="F5" t="inlineStr">
        <x:is>
          <x:t xml:space="preserve">Low</x:t>
        </x:is>
      </x:c>
      <x:c r="G5" t="inlineStr">
        <x:is>
          <x:t xml:space="preserve">Final</x:t>
        </x:is>
      </x:c>
      <x:c r="H5" t="inlineStr">
        <x:is>
          <x:t xml:space="preserve">Complete</x:t>
        </x:is>
      </x:c>
      <x:c r="I5" t="inlineStr">
        <x:is>
          <x:t xml:space="preserve">CDRL</x:t>
        </x:is>
      </x:c>
      <x:c r="J5" t="inlineStr">
        <x:is>
          <x:t xml:space="preserve">Decision</x:t>
        </x:is>
      </x:c>
      <x:c r="N5" t="inlineStr">
        <x:is>
          <x:t xml:space="preserve">Staffing</x:t>
        </x:is>
      </x:c>
      <x:c r="O5" t="inlineStr">
        <x:is>
          <x:t xml:space="preserve">New Requirement</x:t>
        </x:is>
      </x:c>
      <x:c r="P5" t="inlineStr">
        <x:is>
          <x:t xml:space="preserve">Resolved</x:t>
        </x:is>
      </x:c>
      <x:c r="Q5" t="inlineStr">
        <x:is>
          <x:t xml:space="preserve">Evaluation</x:t>
        </x:is>
      </x:c>
      <x:c r="R5" t="inlineStr">
        <x:is>
          <x:t xml:space="preserve">Price</x:t>
        </x:is>
      </x:c>
    </x:row>
    <x:row r="6">
      <x:c r="A6" t="inlineStr">
        <x:is>
          <x:t xml:space="preserve">J - Attachment / Exhibit</x:t>
        </x:is>
      </x:c>
      <x:c r="B6" t="inlineStr">
        <x:is>
          <x:t xml:space="preserve">Staffing</x:t>
        </x:is>
      </x:c>
      <x:c r="C6" t="inlineStr">
        <x:is>
          <x:t xml:space="preserve">Risk Item</x:t>
        </x:is>
      </x:c>
      <x:c r="D6" t="inlineStr">
        <x:is>
          <x:t xml:space="preserve">N/A</x:t>
        </x:is>
      </x:c>
      <x:c r="F6" t="inlineStr">
        <x:is>
          <x:t xml:space="preserve">Not Stated</x:t>
        </x:is>
      </x:c>
      <x:c r="H6" t="inlineStr">
        <x:is>
          <x:t xml:space="preserve">N/A</x:t>
        </x:is>
      </x:c>
      <x:c r="I6" t="inlineStr">
        <x:is>
          <x:t xml:space="preserve">Attachment</x:t>
        </x:is>
      </x:c>
      <x:c r="N6" t="inlineStr">
        <x:is>
          <x:t xml:space="preserve">Past Performance</x:t>
        </x:is>
      </x:c>
      <x:c r="O6" t="inlineStr">
        <x:is>
          <x:t xml:space="preserve">Pending Review</x:t>
        </x:is>
      </x:c>
      <x:c r="P6" t="inlineStr">
        <x:is>
          <x:t xml:space="preserve">Deferred</x:t>
        </x:is>
      </x:c>
      <x:c r="Q6" t="inlineStr">
        <x:is>
          <x:t xml:space="preserve">Pricing</x:t>
        </x:is>
      </x:c>
      <x:c r="R6" t="inlineStr">
        <x:is>
          <x:t xml:space="preserve">Past Performance</x:t>
        </x:is>
      </x:c>
    </x:row>
    <x:row r="7">
      <x:c r="A7" t="inlineStr">
        <x:is>
          <x:t xml:space="preserve">H / Special Terms</x:t>
        </x:is>
      </x:c>
      <x:c r="B7" t="inlineStr">
        <x:is>
          <x:t xml:space="preserve">Past Performance</x:t>
        </x:is>
      </x:c>
      <x:c r="I7" t="inlineStr">
        <x:is>
          <x:t xml:space="preserve">Option</x:t>
        </x:is>
      </x:c>
      <x:c r="N7" t="inlineStr">
        <x:is>
          <x:t xml:space="preserve">Price</x:t>
        </x:is>
      </x:c>
      <x:c r="Q7" t="inlineStr">
        <x:is>
          <x:t xml:space="preserve">Q&amp;A</x:t>
        </x:is>
      </x:c>
      <x:c r="R7" t="inlineStr">
        <x:is>
          <x:t xml:space="preserve">Production</x:t>
        </x:is>
      </x:c>
    </x:row>
    <x:row r="8">
      <x:c r="A8" t="inlineStr">
        <x:is>
          <x:t xml:space="preserve">Amendment</x:t>
        </x:is>
      </x:c>
      <x:c r="B8" t="inlineStr">
        <x:is>
          <x:t xml:space="preserve">Pricing</x:t>
        </x:is>
      </x:c>
      <x:c r="I8" t="inlineStr">
        <x:is>
          <x:t xml:space="preserve">Travel</x:t>
        </x:is>
      </x:c>
      <x:c r="N8" t="inlineStr">
        <x:is>
          <x:t xml:space="preserve">Contract Docs</x:t>
        </x:is>
      </x:c>
      <x:c r="Q8" t="inlineStr">
        <x:is>
          <x:t xml:space="preserve">Attachment</x:t>
        </x:is>
      </x:c>
      <x:c r="R8" t="inlineStr">
        <x:is>
          <x:t xml:space="preserve">Portal</x:t>
        </x:is>
      </x:c>
    </x:row>
    <x:row r="9">
      <x:c r="A9" t="inlineStr">
        <x:is>
          <x:t xml:space="preserve">Q&amp;A</x:t>
        </x:is>
      </x:c>
      <x:c r="B9" t="inlineStr">
        <x:is>
          <x:t xml:space="preserve">Security</x:t>
        </x:is>
      </x:c>
      <x:c r="I9" t="inlineStr">
        <x:is>
          <x:t xml:space="preserve">Milestone</x:t>
        </x:is>
      </x:c>
      <x:c r="N9" t="inlineStr">
        <x:is>
          <x:t xml:space="preserve">Oral Presentation</x:t>
        </x:is>
      </x:c>
      <x:c r="Q9" t="inlineStr">
        <x:is>
          <x:t xml:space="preserve">Other</x:t>
        </x:is>
      </x:c>
      <x:c r="R9" t="inlineStr">
        <x:is>
          <x:t xml:space="preserve">Legal / Compliance</x:t>
        </x:is>
      </x:c>
    </x:row>
    <x:row r="10">
      <x:c r="A10" t="inlineStr">
        <x:is>
          <x:t xml:space="preserve">Other</x:t>
        </x:is>
      </x:c>
      <x:c r="B10" t="inlineStr">
        <x:is>
          <x:t xml:space="preserve">Transition</x:t>
        </x:is>
      </x:c>
      <x:c r="I10" t="inlineStr">
        <x:is>
          <x:t xml:space="preserve">Other</x:t>
        </x:is>
      </x:c>
      <x:c r="N10" t="inlineStr">
        <x:is>
          <x:t xml:space="preserve">Not Applicable</x:t>
        </x:is>
      </x:c>
      <x:c r="R10" t="inlineStr">
        <x:is>
          <x:t xml:space="preserve">Review</x:t>
        </x:is>
      </x:c>
    </x:row>
    <x:row r="11">
      <x:c r="B11" t="inlineStr">
        <x:is>
          <x:t xml:space="preserve">Deliverable / Report</x:t>
        </x:is>
      </x:c>
    </x:row>
    <x:row r="12">
      <x:c r="B12" t="inlineStr">
        <x:is>
          <x:t xml:space="preserve">Small Business</x:t>
        </x:is>
      </x:c>
    </x:row>
    <x:row r="13">
      <x:c r="B13" t="inlineStr">
        <x:is>
          <x:t xml:space="preserve">OCI / Legal</x:t>
        </x:is>
      </x:c>
    </x:row>
    <x:row r="14">
      <x:c r="B14" t="inlineStr">
        <x:is>
          <x:t xml:space="preserve">Attachment / Form</x:t>
        </x:is>
      </x:c>
    </x:row>
    <x:row r="15">
      <x:c r="B15" t="inlineStr">
        <x:is>
          <x:t xml:space="preserve">Schedule</x:t>
        </x:is>
      </x:c>
    </x:row>
    <x:row r="16">
      <x:c r="B16" t="inlineStr">
        <x:is>
          <x:t xml:space="preserve">Other</x:t>
        </x:is>
      </x:c>
    </x:row>
  </x:sheetData>
  <x:pageMargins left="0.7" right="0.7" top="0.75" bottom="0.75" header="0.3" footer="0.3"/>
</x:worksheet>
</file>